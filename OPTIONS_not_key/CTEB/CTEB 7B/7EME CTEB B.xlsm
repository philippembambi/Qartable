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technologie\FORMATION\KARTABLE\les écoles partenaires\ECOLE LYCEE DIANKEBA 13EME RUE LIMETE\OPTIONS_not_key\CTEB\CTEB 7B\"/>
    </mc:Choice>
  </mc:AlternateContent>
  <bookViews>
    <workbookView xWindow="-120" yWindow="-120" windowWidth="20610" windowHeight="7920"/>
  </bookViews>
  <sheets>
    <sheet name="BLL" sheetId="2" r:id="rId1"/>
    <sheet name="BD" sheetId="3" r:id="rId2"/>
    <sheet name="CLS" sheetId="6" r:id="rId3"/>
    <sheet name="PLM" sheetId="5" r:id="rId4"/>
    <sheet name="Gr1P" sheetId="22" r:id="rId5"/>
    <sheet name="Gr2P" sheetId="15" r:id="rId6"/>
    <sheet name="GrEXM1S" sheetId="16" r:id="rId7"/>
    <sheet name="Gr3P " sheetId="24" r:id="rId8"/>
    <sheet name="Gr4P" sheetId="23" r:id="rId9"/>
    <sheet name="GrEXM2S" sheetId="25" r:id="rId10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2" i="6" l="1"/>
  <c r="B10" i="6"/>
  <c r="B8" i="6"/>
  <c r="A7" i="3" l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6" i="3"/>
  <c r="F5" i="5" l="1"/>
  <c r="F6" i="5"/>
  <c r="F7" i="5"/>
  <c r="F8" i="5"/>
  <c r="H48" i="2"/>
  <c r="E45" i="2"/>
  <c r="O30" i="2" l="1"/>
  <c r="H25" i="2"/>
  <c r="F9" i="5" l="1"/>
  <c r="O48" i="2" l="1"/>
  <c r="M48" i="2"/>
  <c r="L48" i="2"/>
  <c r="Q47" i="2"/>
  <c r="Q48" i="2" l="1"/>
  <c r="J48" i="2"/>
  <c r="Q44" i="2"/>
  <c r="Q43" i="2"/>
  <c r="J44" i="2"/>
  <c r="J43" i="2"/>
  <c r="Q38" i="2"/>
  <c r="Q36" i="2"/>
  <c r="J37" i="2"/>
  <c r="J38" i="2"/>
  <c r="J39" i="2"/>
  <c r="J40" i="2"/>
  <c r="J36" i="2"/>
  <c r="Q33" i="2"/>
  <c r="Q32" i="2"/>
  <c r="J33" i="2"/>
  <c r="J32" i="2"/>
  <c r="Q28" i="2"/>
  <c r="Q29" i="2"/>
  <c r="Q27" i="2"/>
  <c r="J28" i="2"/>
  <c r="J29" i="2"/>
  <c r="J27" i="2"/>
  <c r="Q23" i="2"/>
  <c r="Q22" i="2"/>
  <c r="Q19" i="2"/>
  <c r="Q17" i="2"/>
  <c r="J18" i="2"/>
  <c r="J16" i="2"/>
  <c r="H20" i="2"/>
  <c r="L20" i="2"/>
  <c r="M20" i="2"/>
  <c r="O20" i="2"/>
  <c r="O45" i="2"/>
  <c r="M45" i="2"/>
  <c r="L45" i="2"/>
  <c r="H45" i="2"/>
  <c r="O41" i="2"/>
  <c r="M41" i="2"/>
  <c r="L41" i="2"/>
  <c r="H41" i="2"/>
  <c r="O34" i="2"/>
  <c r="M34" i="2"/>
  <c r="L34" i="2"/>
  <c r="H34" i="2"/>
  <c r="L30" i="2"/>
  <c r="H30" i="2"/>
  <c r="O25" i="2"/>
  <c r="M25" i="2"/>
  <c r="L25" i="2"/>
  <c r="F48" i="2"/>
  <c r="F45" i="2"/>
  <c r="F41" i="2"/>
  <c r="F34" i="2"/>
  <c r="F30" i="2"/>
  <c r="F25" i="2"/>
  <c r="F20" i="2"/>
  <c r="F50" i="2" l="1"/>
  <c r="F51" i="2" s="1"/>
  <c r="O50" i="2"/>
  <c r="O51" i="2" s="1"/>
  <c r="S18" i="2"/>
  <c r="S36" i="2"/>
  <c r="S28" i="2"/>
  <c r="S19" i="2"/>
  <c r="S17" i="2"/>
  <c r="S16" i="2"/>
  <c r="S27" i="2"/>
  <c r="Q45" i="2"/>
  <c r="S44" i="2"/>
  <c r="S40" i="2"/>
  <c r="S39" i="2"/>
  <c r="S38" i="2"/>
  <c r="S37" i="2"/>
  <c r="Q41" i="2"/>
  <c r="S33" i="2"/>
  <c r="Q34" i="2"/>
  <c r="S32" i="2"/>
  <c r="S29" i="2"/>
  <c r="Q30" i="2"/>
  <c r="S24" i="2"/>
  <c r="S23" i="2"/>
  <c r="Q25" i="2"/>
  <c r="S22" i="2"/>
  <c r="J45" i="2"/>
  <c r="S43" i="2"/>
  <c r="J25" i="2"/>
  <c r="J20" i="2"/>
  <c r="J41" i="2"/>
  <c r="S47" i="2"/>
  <c r="S48" i="2" s="1"/>
  <c r="J34" i="2"/>
  <c r="J30" i="2"/>
  <c r="Q20" i="2"/>
  <c r="M50" i="2"/>
  <c r="M51" i="2" s="1"/>
  <c r="L50" i="2"/>
  <c r="L51" i="2" s="1"/>
  <c r="H50" i="2"/>
  <c r="H51" i="2" s="1"/>
  <c r="E48" i="2"/>
  <c r="E41" i="2"/>
  <c r="E34" i="2"/>
  <c r="E30" i="2"/>
  <c r="E25" i="2"/>
  <c r="E20" i="2"/>
  <c r="E50" i="2" l="1"/>
  <c r="E51" i="2" s="1"/>
  <c r="S34" i="2"/>
  <c r="S25" i="2"/>
  <c r="S30" i="2"/>
  <c r="S20" i="2"/>
  <c r="Q50" i="2"/>
  <c r="Q51" i="2" s="1"/>
  <c r="S45" i="2"/>
  <c r="S41" i="2"/>
  <c r="J50" i="2"/>
  <c r="J51" i="2" s="1"/>
  <c r="S50" i="2" l="1"/>
  <c r="S51" i="2" s="1"/>
  <c r="I3" i="5" l="1"/>
  <c r="H3" i="5"/>
  <c r="I17" i="5"/>
  <c r="I10" i="5"/>
  <c r="I9" i="5"/>
  <c r="I5" i="5"/>
  <c r="I6" i="5"/>
  <c r="I14" i="5" l="1"/>
  <c r="I13" i="5"/>
</calcChain>
</file>

<file path=xl/comments1.xml><?xml version="1.0" encoding="utf-8"?>
<comments xmlns="http://schemas.openxmlformats.org/spreadsheetml/2006/main">
  <authors>
    <author>Ben_Kum's</author>
  </authors>
  <commentList>
    <comment ref="G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Affecter le % de la 1ère Période pour  l'élève que vous venez de sélectionner récemment  dans le  poste PREPARATOR. </t>
        </r>
      </text>
    </comment>
    <comment ref="H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Affecter le % de la 2ème Période pour  l'élève que vous venez de sélectionner récemment  dans le  poste PREPARATOR. 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des examens du 1er semestre  pour  l'élève que vous venez de sélectionner récemment  dans le  poste PREPARATOR. </t>
        </r>
      </text>
    </comment>
    <comment ref="J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 Total de 1er semestre pour  l'élève que vous venez de sélectionner récemment  dans le  poste PREPARATOR.  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 la 4ème Période pour  l'élève que vous venez de sélectionner récemment  dans le  poste PREPARATOR. </t>
        </r>
      </text>
    </comment>
    <comment ref="M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des  examens du 2ème semestre pour  l'élève que vous venez de sélectionner récemment  dans le  poste PREPARATOR. </t>
        </r>
      </text>
    </comment>
    <comment ref="N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Affecter le % de la 1ère Période pour  l'élève que vous venez de sélectionner récemment  dans le  poste PREPARATOR. </t>
        </r>
      </text>
    </comment>
    <comment ref="P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des examens du 1er semestre  pour  l'élève que vous venez de sélectionner récemment  dans le  poste PREPARATOR. </t>
        </r>
      </text>
    </comment>
    <comment ref="R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 Total 2ème semestre pour  l'élève que vous venez de sélectionner récemment  dans le  poste PREPARATOR. </t>
        </r>
      </text>
    </comment>
    <comment ref="S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 Totaux pour  l'élève que vous venez de sélectionner récemment  dans le  poste PREPARATOR.  </t>
        </r>
      </text>
    </comment>
  </commentList>
</comments>
</file>

<file path=xl/comments2.xml><?xml version="1.0" encoding="utf-8"?>
<comments xmlns="http://schemas.openxmlformats.org/spreadsheetml/2006/main">
  <authors>
    <author>Ben_Kum's</author>
    <author>B_Madu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rerzrtyettru
iyomuoi
$u
klsk!sl
ùzkz
zlzelzedzdl
mdd;ze
</t>
        </r>
      </text>
    </comment>
    <comment ref="F16" authorId="1" shapeId="0">
      <text>
        <r>
          <rPr>
            <b/>
            <sz val="9"/>
            <color indexed="81"/>
            <rFont val="Tahoma"/>
            <family val="2"/>
          </rPr>
          <t>B_Madu:</t>
        </r>
        <r>
          <rPr>
            <sz val="9"/>
            <color indexed="81"/>
            <rFont val="Tahoma"/>
            <family val="2"/>
          </rPr>
          <t xml:space="preserve">
gfgfjj
hkhbk
hygkuhheghegeggeuhu
g
y</t>
        </r>
      </text>
    </comment>
  </commentList>
</comments>
</file>

<file path=xl/comments3.xml><?xml version="1.0" encoding="utf-8"?>
<comments xmlns="http://schemas.openxmlformats.org/spreadsheetml/2006/main">
  <authors>
    <author>Ben_Kum's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Imprimmez rapidement le palmarès ici. 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Un simple click, vous videz le palmarès, cette action est irréversible. 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Rendez le palmarès en format PDF rapidement ici!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sélectionnez rapedement l'élève suivant ici!</t>
        </r>
      </text>
    </comment>
  </commentList>
</comments>
</file>

<file path=xl/sharedStrings.xml><?xml version="1.0" encoding="utf-8"?>
<sst xmlns="http://schemas.openxmlformats.org/spreadsheetml/2006/main" count="581" uniqueCount="314">
  <si>
    <t>PREMIER SEMESTRE</t>
  </si>
  <si>
    <t>MAXIMA GENERAUX</t>
  </si>
  <si>
    <t>TOTAUX</t>
  </si>
  <si>
    <t>POURCENTAGE</t>
  </si>
  <si>
    <t>APPLICATION</t>
  </si>
  <si>
    <t>CONDUITE</t>
  </si>
  <si>
    <t>POST-NOM</t>
  </si>
  <si>
    <t>PRENOM</t>
  </si>
  <si>
    <t>SEXE</t>
  </si>
  <si>
    <t>POST NOM</t>
  </si>
  <si>
    <t>NOM</t>
  </si>
  <si>
    <t>PLACE</t>
  </si>
  <si>
    <t>%</t>
  </si>
  <si>
    <t>IDENTIFICATION DE L'ELEVE</t>
  </si>
  <si>
    <r>
      <rPr>
        <sz val="10"/>
        <color theme="1"/>
        <rFont val="Bell MT"/>
        <family val="1"/>
      </rPr>
      <t>1</t>
    </r>
    <r>
      <rPr>
        <vertAlign val="superscript"/>
        <sz val="10"/>
        <color theme="1"/>
        <rFont val="Bell MT"/>
        <family val="1"/>
      </rPr>
      <t xml:space="preserve">ère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  </t>
    </r>
    <r>
      <rPr>
        <sz val="10"/>
        <color theme="1"/>
        <rFont val="Bell MT"/>
        <family val="1"/>
      </rPr>
      <t>2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</t>
    </r>
    <r>
      <rPr>
        <sz val="10"/>
        <color theme="1"/>
        <rFont val="Bell MT"/>
        <family val="1"/>
      </rPr>
      <t xml:space="preserve">EXAM.             </t>
    </r>
    <r>
      <rPr>
        <vertAlign val="superscript"/>
        <sz val="10"/>
        <color theme="1"/>
        <rFont val="Bell MT"/>
        <family val="1"/>
      </rPr>
      <t xml:space="preserve">   </t>
    </r>
    <r>
      <rPr>
        <sz val="10"/>
        <color theme="1"/>
        <rFont val="Bell MT"/>
        <family val="1"/>
      </rPr>
      <t xml:space="preserve">TOT.          </t>
    </r>
    <r>
      <rPr>
        <vertAlign val="superscript"/>
        <sz val="10"/>
        <color theme="1"/>
        <rFont val="Bell MT"/>
        <family val="1"/>
      </rPr>
      <t xml:space="preserve">    </t>
    </r>
    <r>
      <rPr>
        <sz val="10"/>
        <color theme="1"/>
        <rFont val="Bell MT"/>
        <family val="1"/>
      </rPr>
      <t>3</t>
    </r>
    <r>
      <rPr>
        <vertAlign val="superscript"/>
        <sz val="10"/>
        <color theme="1"/>
        <rFont val="Bell MT"/>
        <family val="1"/>
      </rPr>
      <t xml:space="preserve"> ème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</t>
    </r>
    <r>
      <rPr>
        <sz val="10"/>
        <color theme="1"/>
        <rFont val="Bell MT"/>
        <family val="1"/>
      </rPr>
      <t>4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</t>
    </r>
    <r>
      <rPr>
        <sz val="10"/>
        <color theme="1"/>
        <rFont val="Bell MT"/>
        <family val="1"/>
      </rPr>
      <t>EXAM</t>
    </r>
    <r>
      <rPr>
        <vertAlign val="superscript"/>
        <sz val="10"/>
        <color theme="1"/>
        <rFont val="Bell MT"/>
        <family val="1"/>
      </rPr>
      <t xml:space="preserve">.                </t>
    </r>
    <r>
      <rPr>
        <sz val="10"/>
        <color theme="1"/>
        <rFont val="Bell MT"/>
        <family val="1"/>
      </rPr>
      <t>TOT.         TOT. GEN</t>
    </r>
    <r>
      <rPr>
        <sz val="11"/>
        <color theme="1"/>
        <rFont val="Bell MT"/>
        <family val="1"/>
      </rPr>
      <t xml:space="preserve">  </t>
    </r>
  </si>
  <si>
    <t>ILUNGA</t>
  </si>
  <si>
    <t>MAKANDA</t>
  </si>
  <si>
    <t>MPUTU</t>
  </si>
  <si>
    <t>MWANDA</t>
  </si>
  <si>
    <t>NGALULA</t>
  </si>
  <si>
    <t>Français</t>
  </si>
  <si>
    <t xml:space="preserve"> </t>
  </si>
  <si>
    <t>id_élève</t>
  </si>
  <si>
    <t>nom_élève</t>
  </si>
  <si>
    <t>REUSSITE</t>
  </si>
  <si>
    <t>GARCONS</t>
  </si>
  <si>
    <t>FILLES</t>
  </si>
  <si>
    <t>ECHECS</t>
  </si>
  <si>
    <t>CLASSE</t>
  </si>
  <si>
    <t>MOYENNE %</t>
  </si>
  <si>
    <t xml:space="preserve">MOYENNE </t>
  </si>
  <si>
    <t xml:space="preserve">MAX.
</t>
  </si>
  <si>
    <t>TRAVAUX 
JOURNAL</t>
  </si>
  <si>
    <t xml:space="preserve">MAX. EXAM.
</t>
  </si>
  <si>
    <t xml:space="preserve">TOTAL
</t>
  </si>
  <si>
    <t>TOTAL
GENERAL</t>
  </si>
  <si>
    <t>DOMAINE DES SCIENCES</t>
  </si>
  <si>
    <t>Sous-domaine des Mathématiques</t>
  </si>
  <si>
    <t xml:space="preserve">BRANCHE
</t>
  </si>
  <si>
    <t>Algèbre</t>
  </si>
  <si>
    <t>Arithmétique</t>
  </si>
  <si>
    <t>Géométrie</t>
  </si>
  <si>
    <t>Sous-Total</t>
  </si>
  <si>
    <t>Sous-domaine des Sciences de la Vie et de la Terre</t>
  </si>
  <si>
    <t>Anatomie</t>
  </si>
  <si>
    <t xml:space="preserve">Botanique
</t>
  </si>
  <si>
    <t>Zoologie</t>
  </si>
  <si>
    <t>Sous-domaine des Sciences Physiques, Technologie et TIC</t>
  </si>
  <si>
    <t>Sciences Physiques</t>
  </si>
  <si>
    <t>Technologie</t>
  </si>
  <si>
    <t>Tech. d'Info. &amp; Com (TIC)</t>
  </si>
  <si>
    <t>DOMAINE DES LANGUES</t>
  </si>
  <si>
    <t>Anglais</t>
  </si>
  <si>
    <t>DOMAINE DE L'UNIVERS SOCIAL ET ENVIRONNEMENT</t>
  </si>
  <si>
    <t>Education civique et morale</t>
  </si>
  <si>
    <t>Géographie</t>
  </si>
  <si>
    <t>Histoire</t>
  </si>
  <si>
    <r>
      <t xml:space="preserve">Education à la vie </t>
    </r>
    <r>
      <rPr>
        <vertAlign val="superscript"/>
        <sz val="9"/>
        <color theme="1"/>
        <rFont val="Times New Roman"/>
        <family val="1"/>
      </rPr>
      <t>(1)</t>
    </r>
  </si>
  <si>
    <r>
      <t xml:space="preserve">Religion </t>
    </r>
    <r>
      <rPr>
        <vertAlign val="superscript"/>
        <sz val="9"/>
        <color theme="1"/>
        <rFont val="Times New Roman"/>
        <family val="1"/>
      </rPr>
      <t>(1)</t>
    </r>
  </si>
  <si>
    <t>DOMAINE DES ARTS</t>
  </si>
  <si>
    <t>Dessin</t>
  </si>
  <si>
    <t>Musique</t>
  </si>
  <si>
    <t>DOMAINE DU DEVELOPPEMENT PERSONNEL</t>
  </si>
  <si>
    <t>Education physique</t>
  </si>
  <si>
    <t>SIGNATURE</t>
  </si>
  <si>
    <r>
      <rPr>
        <sz val="7"/>
        <color theme="1"/>
        <rFont val="Times New Roman"/>
        <family val="1"/>
      </rPr>
      <t xml:space="preserve">PASSE (1) 
DOUBLE (1)
LE…./..../20….
Le Chef d'Etablissement
Sceau de l'école
</t>
    </r>
    <r>
      <rPr>
        <sz val="8"/>
        <color theme="1"/>
        <rFont val="Times New Roman"/>
        <family val="1"/>
      </rPr>
      <t xml:space="preserve">
</t>
    </r>
  </si>
  <si>
    <t>EXAMAN
REPECHAGE</t>
  </si>
  <si>
    <t>Sign. Prof.</t>
  </si>
  <si>
    <r>
      <t>1</t>
    </r>
    <r>
      <rPr>
        <b/>
        <vertAlign val="superscript"/>
        <sz val="8"/>
        <color theme="1"/>
        <rFont val="Times New Roman"/>
        <family val="1"/>
      </rPr>
      <t>ère</t>
    </r>
    <r>
      <rPr>
        <b/>
        <sz val="8"/>
        <color theme="1"/>
        <rFont val="Times New Roman"/>
        <family val="1"/>
      </rPr>
      <t xml:space="preserve"> P</t>
    </r>
  </si>
  <si>
    <r>
      <t>2</t>
    </r>
    <r>
      <rPr>
        <b/>
        <vertAlign val="superscript"/>
        <sz val="8"/>
        <color theme="1"/>
        <rFont val="Times New Roman"/>
        <family val="1"/>
      </rPr>
      <t>ème</t>
    </r>
    <r>
      <rPr>
        <b/>
        <sz val="8"/>
        <color theme="1"/>
        <rFont val="Times New Roman"/>
        <family val="1"/>
      </rPr>
      <t xml:space="preserve"> P</t>
    </r>
  </si>
  <si>
    <t>DEUXIEME SEMESTRE</t>
  </si>
  <si>
    <r>
      <t>3</t>
    </r>
    <r>
      <rPr>
        <b/>
        <vertAlign val="superscript"/>
        <sz val="8"/>
        <color theme="1"/>
        <rFont val="Times New Roman"/>
        <family val="1"/>
      </rPr>
      <t>ème</t>
    </r>
    <r>
      <rPr>
        <b/>
        <sz val="8"/>
        <color theme="1"/>
        <rFont val="Times New Roman"/>
        <family val="1"/>
      </rPr>
      <t xml:space="preserve"> P</t>
    </r>
  </si>
  <si>
    <r>
      <t>4</t>
    </r>
    <r>
      <rPr>
        <b/>
        <vertAlign val="superscript"/>
        <sz val="8"/>
        <color theme="1"/>
        <rFont val="Times New Roman"/>
        <family val="1"/>
      </rPr>
      <t>ème</t>
    </r>
    <r>
      <rPr>
        <b/>
        <sz val="8"/>
        <color theme="1"/>
        <rFont val="Times New Roman"/>
        <family val="1"/>
      </rPr>
      <t xml:space="preserve"> P</t>
    </r>
  </si>
  <si>
    <t>GRILLE DES COTES PREMIERE PERIODE</t>
  </si>
  <si>
    <t>Statistique</t>
  </si>
  <si>
    <t>Botanique</t>
  </si>
  <si>
    <t>Tech. D'Info. &amp; Com (TIC)</t>
  </si>
  <si>
    <t>Religion</t>
  </si>
  <si>
    <t>Education à la vie</t>
  </si>
  <si>
    <t>Edu. Civ. Et Morale</t>
  </si>
  <si>
    <t>APELA</t>
  </si>
  <si>
    <t>ASUMANI</t>
  </si>
  <si>
    <t>TSHIPAMBA</t>
  </si>
  <si>
    <t>BOPE</t>
  </si>
  <si>
    <t>MALAMU</t>
  </si>
  <si>
    <t>BOTAKA</t>
  </si>
  <si>
    <t>NKANGA</t>
  </si>
  <si>
    <t>CATUAMBI</t>
  </si>
  <si>
    <t>GISHE</t>
  </si>
  <si>
    <t>MONGOMBE</t>
  </si>
  <si>
    <t>KITOKO</t>
  </si>
  <si>
    <t>WANE</t>
  </si>
  <si>
    <t>TSHABEYA</t>
  </si>
  <si>
    <t>PLACE/NRE D'ELEVES</t>
  </si>
  <si>
    <t>40</t>
  </si>
  <si>
    <t>10</t>
  </si>
  <si>
    <t>20</t>
  </si>
  <si>
    <t>102</t>
  </si>
  <si>
    <t>103</t>
  </si>
  <si>
    <t>104</t>
  </si>
  <si>
    <t>105</t>
  </si>
  <si>
    <t>106</t>
  </si>
  <si>
    <t>107</t>
  </si>
  <si>
    <t>108</t>
  </si>
  <si>
    <t>30</t>
  </si>
  <si>
    <t>70</t>
  </si>
  <si>
    <t>202</t>
  </si>
  <si>
    <t>203</t>
  </si>
  <si>
    <t>204</t>
  </si>
  <si>
    <t>205</t>
  </si>
  <si>
    <t>206</t>
  </si>
  <si>
    <t>207</t>
  </si>
  <si>
    <t>208</t>
  </si>
  <si>
    <t>209</t>
  </si>
  <si>
    <t>100</t>
  </si>
  <si>
    <t>2010</t>
  </si>
  <si>
    <t>2011</t>
  </si>
  <si>
    <t>2012</t>
  </si>
  <si>
    <t>2014</t>
  </si>
  <si>
    <t>2015</t>
  </si>
  <si>
    <t>2016</t>
  </si>
  <si>
    <t>M</t>
  </si>
  <si>
    <t>F</t>
  </si>
  <si>
    <t>80</t>
  </si>
  <si>
    <t>60</t>
  </si>
  <si>
    <t>140</t>
  </si>
  <si>
    <t>402</t>
  </si>
  <si>
    <t>403</t>
  </si>
  <si>
    <t>404</t>
  </si>
  <si>
    <t>405</t>
  </si>
  <si>
    <t>406</t>
  </si>
  <si>
    <t>407</t>
  </si>
  <si>
    <t>408</t>
  </si>
  <si>
    <t>409</t>
  </si>
  <si>
    <t>GRILLE DES COTES DEUXIEME PERIODE</t>
  </si>
  <si>
    <t>GRILLE DES COTES EXAMEN PREMIER SEMESTRE</t>
  </si>
  <si>
    <t>GRILLE DES COTES EXAMEN DEUXIEME SEMESTRE</t>
  </si>
  <si>
    <t>GRILLE DES COTES TROISIEME PERIODE</t>
  </si>
  <si>
    <t>GRILLE DES COTES QUATRIEME PERIODE</t>
  </si>
  <si>
    <t>AYEMBI</t>
  </si>
  <si>
    <t>NZOYETO</t>
  </si>
  <si>
    <t>BABINGUI</t>
  </si>
  <si>
    <t>PWEMA</t>
  </si>
  <si>
    <t>BAFIALA</t>
  </si>
  <si>
    <t>MPOYI</t>
  </si>
  <si>
    <t>BAKISI</t>
  </si>
  <si>
    <t>NZINGA</t>
  </si>
  <si>
    <t>BAKONDELA</t>
  </si>
  <si>
    <t>ESELO</t>
  </si>
  <si>
    <t>BAZANGA</t>
  </si>
  <si>
    <t>BASA NELLY</t>
  </si>
  <si>
    <t>BILEM</t>
  </si>
  <si>
    <t>MUNZEBI</t>
  </si>
  <si>
    <t>BILONDA</t>
  </si>
  <si>
    <t>KANKU</t>
  </si>
  <si>
    <t>BINTU</t>
  </si>
  <si>
    <t>TSHINGOMBA</t>
  </si>
  <si>
    <t>BOKILO</t>
  </si>
  <si>
    <t>MUSINANI</t>
  </si>
  <si>
    <t>BOYALE</t>
  </si>
  <si>
    <t>MBOKOLO</t>
  </si>
  <si>
    <t>DEPIANO</t>
  </si>
  <si>
    <t>MUKAMAYELA</t>
  </si>
  <si>
    <t>DIANGO</t>
  </si>
  <si>
    <t>MUSAMPA</t>
  </si>
  <si>
    <t>DIMOMBE</t>
  </si>
  <si>
    <t>OSAKO</t>
  </si>
  <si>
    <t>DIPO</t>
  </si>
  <si>
    <t>KALALA</t>
  </si>
  <si>
    <t>ELEKE</t>
  </si>
  <si>
    <t>EBUKA</t>
  </si>
  <si>
    <t>ESIMBA</t>
  </si>
  <si>
    <t>NYAWOSO MARIE</t>
  </si>
  <si>
    <t>IKWI</t>
  </si>
  <si>
    <t>KERTZ</t>
  </si>
  <si>
    <t>ILADJA</t>
  </si>
  <si>
    <t>BONSOLON</t>
  </si>
  <si>
    <t>ILAKA</t>
  </si>
  <si>
    <t>MAZUZA</t>
  </si>
  <si>
    <t>ILONGA</t>
  </si>
  <si>
    <t>BOMPUTU</t>
  </si>
  <si>
    <t>INIANA</t>
  </si>
  <si>
    <t>NGALENA</t>
  </si>
  <si>
    <t>KABAMBA</t>
  </si>
  <si>
    <t>KAFUTI</t>
  </si>
  <si>
    <t>KABEDI</t>
  </si>
  <si>
    <t>TSHISUAKA</t>
  </si>
  <si>
    <t>KAHENGA</t>
  </si>
  <si>
    <t>LUHEMBWE</t>
  </si>
  <si>
    <t>KAPUADI</t>
  </si>
  <si>
    <t>KAPUMBA</t>
  </si>
  <si>
    <t>MITANGILA</t>
  </si>
  <si>
    <t>KASIAMA</t>
  </si>
  <si>
    <t>BANTA</t>
  </si>
  <si>
    <t>KATULISI</t>
  </si>
  <si>
    <t>BANGO</t>
  </si>
  <si>
    <t>KAUKAU</t>
  </si>
  <si>
    <t>MOLEDILE</t>
  </si>
  <si>
    <t>KELA</t>
  </si>
  <si>
    <t>MASOLOKELE</t>
  </si>
  <si>
    <t>KIETE</t>
  </si>
  <si>
    <t>ANGWIS</t>
  </si>
  <si>
    <t>KILALA</t>
  </si>
  <si>
    <t>MULONJI</t>
  </si>
  <si>
    <t>KIMBURA</t>
  </si>
  <si>
    <t>NDABWALA</t>
  </si>
  <si>
    <t>KINGOMA</t>
  </si>
  <si>
    <t>JOHA</t>
  </si>
  <si>
    <t>ANUEYE</t>
  </si>
  <si>
    <t>KUBUNDUMUKA</t>
  </si>
  <si>
    <t>AZIZA</t>
  </si>
  <si>
    <t>KURU-KURU</t>
  </si>
  <si>
    <t>TONDA</t>
  </si>
  <si>
    <t>LESTWA</t>
  </si>
  <si>
    <t>KIESE</t>
  </si>
  <si>
    <t>LESESANGA</t>
  </si>
  <si>
    <t>ISONGI</t>
  </si>
  <si>
    <t>LUAMBA</t>
  </si>
  <si>
    <t>LUNTADILA</t>
  </si>
  <si>
    <t>LOWOTA</t>
  </si>
  <si>
    <t>LUSASANA</t>
  </si>
  <si>
    <t>MBIYA</t>
  </si>
  <si>
    <t>LUTUMBA</t>
  </si>
  <si>
    <t>BALOLA</t>
  </si>
  <si>
    <t>MALENGA</t>
  </si>
  <si>
    <t>KHUSA</t>
  </si>
  <si>
    <t>MALEO</t>
  </si>
  <si>
    <t>MAMPI</t>
  </si>
  <si>
    <t>MALEWI</t>
  </si>
  <si>
    <t>YENGO</t>
  </si>
  <si>
    <t>MALINGO</t>
  </si>
  <si>
    <t>MBOMBI</t>
  </si>
  <si>
    <t>MAMBULU</t>
  </si>
  <si>
    <t>LISOLO</t>
  </si>
  <si>
    <t>MASSAMBA</t>
  </si>
  <si>
    <t>MUANANGANI</t>
  </si>
  <si>
    <t>MBOMBO</t>
  </si>
  <si>
    <t>ONGENI</t>
  </si>
  <si>
    <t>MIKA</t>
  </si>
  <si>
    <t>MANIFICAT</t>
  </si>
  <si>
    <t>MISENGA</t>
  </si>
  <si>
    <t>KABANKU</t>
  </si>
  <si>
    <t>MOBANGO</t>
  </si>
  <si>
    <t>YONGO</t>
  </si>
  <si>
    <t xml:space="preserve">MOBOKO </t>
  </si>
  <si>
    <t>MONANA</t>
  </si>
  <si>
    <t>MOKANGO</t>
  </si>
  <si>
    <t>SHANADIA</t>
  </si>
  <si>
    <t>MOKE</t>
  </si>
  <si>
    <t>MUNGU</t>
  </si>
  <si>
    <t>MOYIGA</t>
  </si>
  <si>
    <t>NZENGA</t>
  </si>
  <si>
    <t>MPAKASA</t>
  </si>
  <si>
    <t>KASANDJI</t>
  </si>
  <si>
    <t>KALESHAY</t>
  </si>
  <si>
    <t>MUBANDA</t>
  </si>
  <si>
    <t>YEHOCHEBA</t>
  </si>
  <si>
    <t>MUBWA</t>
  </si>
  <si>
    <t>MALANGA</t>
  </si>
  <si>
    <t>MUKE</t>
  </si>
  <si>
    <t>NKOY</t>
  </si>
  <si>
    <t>MUKESU</t>
  </si>
  <si>
    <t>NANGA</t>
  </si>
  <si>
    <t>MUKOKO</t>
  </si>
  <si>
    <t>KITIKA</t>
  </si>
  <si>
    <t>MULINGWA</t>
  </si>
  <si>
    <t>MULUMBA</t>
  </si>
  <si>
    <t>MUPURU</t>
  </si>
  <si>
    <t>MANKONO</t>
  </si>
  <si>
    <t>MWIKA</t>
  </si>
  <si>
    <t>MWAMBA</t>
  </si>
  <si>
    <t>NDUMISI</t>
  </si>
  <si>
    <t>TAPESA</t>
  </si>
  <si>
    <t>NGALIA</t>
  </si>
  <si>
    <t>BUYASUMU</t>
  </si>
  <si>
    <t>MUSANKISHAYI</t>
  </si>
  <si>
    <t>NGOIE</t>
  </si>
  <si>
    <t>AMBOKOKO</t>
  </si>
  <si>
    <t>NIOLAKA</t>
  </si>
  <si>
    <t>TIKAZALA</t>
  </si>
  <si>
    <t xml:space="preserve">NKIE   </t>
  </si>
  <si>
    <t>BINTSUA</t>
  </si>
  <si>
    <t>NKUMBU</t>
  </si>
  <si>
    <t>TONDO</t>
  </si>
  <si>
    <t>NTEMBO</t>
  </si>
  <si>
    <t>NDUITA</t>
  </si>
  <si>
    <t>NZAZI</t>
  </si>
  <si>
    <t>MUSWAMBA</t>
  </si>
  <si>
    <t>OMOYI</t>
  </si>
  <si>
    <t>LOKAMBA</t>
  </si>
  <si>
    <t>PEMBO</t>
  </si>
  <si>
    <t>PENENGE</t>
  </si>
  <si>
    <t>ADEME</t>
  </si>
  <si>
    <t>SECK</t>
  </si>
  <si>
    <t>NIANIA</t>
  </si>
  <si>
    <t>SONGAZILA</t>
  </si>
  <si>
    <t xml:space="preserve">GEMIMA </t>
  </si>
  <si>
    <t>SUMAILI</t>
  </si>
  <si>
    <t>FURAH</t>
  </si>
  <si>
    <t>SUNGI</t>
  </si>
  <si>
    <t>SUMBUKA</t>
  </si>
  <si>
    <t>TSHIDIBI</t>
  </si>
  <si>
    <t>KAYEMBE</t>
  </si>
  <si>
    <t>VONGA</t>
  </si>
  <si>
    <t>NZOIMBA</t>
  </si>
  <si>
    <t>MITONGA</t>
  </si>
  <si>
    <t>WANSWALU</t>
  </si>
  <si>
    <t>MUSHIYA</t>
  </si>
  <si>
    <t>WEMBIA</t>
  </si>
  <si>
    <t>KABWAYI</t>
  </si>
  <si>
    <t>YAMASHIKA</t>
  </si>
  <si>
    <t>EBONDO</t>
  </si>
  <si>
    <t>YENGELE</t>
  </si>
  <si>
    <t>TONDULU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</si>
</sst>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/yy;@"/>
  </numFmts>
  <fonts count="4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ell MT"/>
      <family val="1"/>
    </font>
    <font>
      <b/>
      <sz val="11"/>
      <color theme="1"/>
      <name val="Bell MT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Bell MT"/>
      <family val="1"/>
    </font>
    <font>
      <sz val="11"/>
      <color theme="1"/>
      <name val="Arial Rounded MT Bold"/>
      <family val="2"/>
    </font>
    <font>
      <sz val="14"/>
      <color theme="1"/>
      <name val="Berlin Sans FB Demi"/>
      <family val="2"/>
    </font>
    <font>
      <sz val="10"/>
      <color theme="1"/>
      <name val="Bell MT"/>
      <family val="1"/>
    </font>
    <font>
      <vertAlign val="superscript"/>
      <sz val="10"/>
      <color theme="1"/>
      <name val="Bell MT"/>
      <family val="1"/>
    </font>
    <font>
      <sz val="11"/>
      <color theme="1"/>
      <name val="Algerian"/>
      <family val="5"/>
    </font>
    <font>
      <sz val="11"/>
      <color theme="1"/>
      <name val="Comic Sans MS"/>
      <family val="4"/>
    </font>
    <font>
      <b/>
      <sz val="12"/>
      <color theme="1"/>
      <name val="Comic Sans MS"/>
      <family val="4"/>
    </font>
    <font>
      <sz val="12"/>
      <color theme="1"/>
      <name val="Comic Sans MS"/>
      <family val="4"/>
    </font>
    <font>
      <b/>
      <sz val="12"/>
      <color theme="1"/>
      <name val="Californian FB"/>
      <family val="1"/>
    </font>
    <font>
      <sz val="12"/>
      <color theme="1"/>
      <name val="Bookman Old Style"/>
      <family val="1"/>
    </font>
    <font>
      <sz val="12"/>
      <color theme="1"/>
      <name val="Arial Rounded MT Bold"/>
      <family val="2"/>
    </font>
    <font>
      <sz val="16"/>
      <color theme="1"/>
      <name val="Bauhaus 93"/>
      <family val="5"/>
    </font>
    <font>
      <sz val="11"/>
      <color theme="1"/>
      <name val="Calibri"/>
      <family val="2"/>
      <scheme val="minor"/>
    </font>
    <font>
      <b/>
      <sz val="16"/>
      <color theme="1"/>
      <name val="Bell MT"/>
      <family val="1"/>
    </font>
    <font>
      <b/>
      <sz val="10"/>
      <color indexed="81"/>
      <name val="Tahoma"/>
      <family val="2"/>
    </font>
    <font>
      <sz val="12"/>
      <color theme="1"/>
      <name val="AHintofSass"/>
    </font>
    <font>
      <b/>
      <sz val="14"/>
      <color theme="1"/>
      <name val="Bell MT"/>
      <family val="1"/>
    </font>
    <font>
      <sz val="10"/>
      <color indexed="81"/>
      <name val="Tahoma"/>
      <family val="2"/>
    </font>
    <font>
      <b/>
      <sz val="10"/>
      <color theme="1"/>
      <name val="Calibri"/>
      <family val="2"/>
      <scheme val="minor"/>
    </font>
    <font>
      <b/>
      <sz val="9"/>
      <color theme="1"/>
      <name val="Times New Roman"/>
      <family val="1"/>
    </font>
    <font>
      <sz val="10"/>
      <color theme="1"/>
      <name val="Calibri"/>
      <family val="2"/>
      <scheme val="minor"/>
    </font>
    <font>
      <sz val="8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b/>
      <sz val="8"/>
      <color theme="1"/>
      <name val="Times New Roman"/>
      <family val="1"/>
    </font>
    <font>
      <vertAlign val="superscript"/>
      <sz val="9"/>
      <color theme="1"/>
      <name val="Times New Roman"/>
      <family val="1"/>
    </font>
    <font>
      <b/>
      <sz val="10"/>
      <color theme="1"/>
      <name val="Times New Roman"/>
      <family val="1"/>
    </font>
    <font>
      <b/>
      <sz val="11"/>
      <color theme="1"/>
      <name val="Times New Roman"/>
      <family val="1"/>
    </font>
    <font>
      <sz val="7"/>
      <color theme="1"/>
      <name val="Times New Roman"/>
      <family val="1"/>
    </font>
    <font>
      <b/>
      <sz val="8"/>
      <color theme="1"/>
      <name val="Calibri"/>
      <family val="2"/>
      <scheme val="minor"/>
    </font>
    <font>
      <b/>
      <vertAlign val="superscript"/>
      <sz val="8"/>
      <color theme="1"/>
      <name val="Times New Roman"/>
      <family val="1"/>
    </font>
    <font>
      <b/>
      <sz val="7"/>
      <color theme="1"/>
      <name val="Times New Roman"/>
      <family val="1"/>
    </font>
    <font>
      <b/>
      <sz val="24"/>
      <color theme="1"/>
      <name val="Bell MT"/>
      <family val="1"/>
    </font>
    <font>
      <b/>
      <sz val="12"/>
      <color theme="1"/>
      <name val="Bell MT"/>
      <family val="1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Times New Roman"/>
      <family val="1"/>
    </font>
    <font>
      <b/>
      <sz val="14"/>
      <color theme="0"/>
      <name val="Bell MT"/>
      <family val="1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darkTrellis">
        <bgColor theme="1"/>
      </patternFill>
    </fill>
  </fills>
  <borders count="79">
    <border>
      <left/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double">
        <color theme="0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indexed="64"/>
      </right>
      <top style="thin">
        <color theme="1"/>
      </top>
      <bottom style="medium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/>
      <right style="medium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medium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thin">
        <color indexed="64"/>
      </top>
      <bottom style="medium">
        <color theme="5"/>
      </bottom>
      <diagonal/>
    </border>
    <border>
      <left/>
      <right/>
      <top style="thin">
        <color indexed="64"/>
      </top>
      <bottom style="medium">
        <color theme="5"/>
      </bottom>
      <diagonal/>
    </border>
    <border>
      <left/>
      <right/>
      <top style="thin">
        <color theme="5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/>
      <bottom style="thin">
        <color indexed="64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</borders>
  <cellStyleXfs count="2">
    <xf numFmtId="0" fontId="0" fillId="0" borderId="0"/>
    <xf numFmtId="0" fontId="19" fillId="6" borderId="0" applyNumberFormat="0" applyBorder="0" applyAlignment="0" applyProtection="0"/>
  </cellStyleXfs>
  <cellXfs count="236">
    <xf numFmtId="0" fontId="0" fillId="0" borderId="0" xfId="0"/>
    <xf numFmtId="0" fontId="6" fillId="0" borderId="0" xfId="0" applyFont="1"/>
    <xf numFmtId="0" fontId="0" fillId="0" borderId="0" xfId="0"/>
    <xf numFmtId="0" fontId="13" fillId="0" borderId="0" xfId="0" applyFont="1"/>
    <xf numFmtId="0" fontId="14" fillId="0" borderId="0" xfId="0" applyFont="1"/>
    <xf numFmtId="0" fontId="12" fillId="0" borderId="0" xfId="0" applyFont="1"/>
    <xf numFmtId="0" fontId="16" fillId="0" borderId="0" xfId="0" applyFont="1"/>
    <xf numFmtId="0" fontId="15" fillId="4" borderId="0" xfId="0" applyFont="1" applyFill="1"/>
    <xf numFmtId="164" fontId="15" fillId="4" borderId="0" xfId="0" applyNumberFormat="1" applyFont="1" applyFill="1"/>
    <xf numFmtId="0" fontId="6" fillId="0" borderId="0" xfId="0" applyFont="1" applyAlignment="1"/>
    <xf numFmtId="0" fontId="3" fillId="2" borderId="17" xfId="0" applyFont="1" applyFill="1" applyBorder="1" applyProtection="1">
      <protection locked="0"/>
    </xf>
    <xf numFmtId="0" fontId="29" fillId="0" borderId="5" xfId="0" applyNumberFormat="1" applyFont="1" applyBorder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20" fillId="0" borderId="68" xfId="0" applyFont="1" applyBorder="1" applyAlignment="1"/>
    <xf numFmtId="0" fontId="40" fillId="0" borderId="68" xfId="0" applyFont="1" applyBorder="1" applyAlignment="1">
      <alignment horizontal="center" textRotation="90"/>
    </xf>
    <xf numFmtId="0" fontId="40" fillId="0" borderId="68" xfId="0" applyFont="1" applyBorder="1" applyAlignment="1">
      <alignment textRotation="90"/>
    </xf>
    <xf numFmtId="0" fontId="40" fillId="0" borderId="69" xfId="0" applyFont="1" applyBorder="1" applyAlignment="1">
      <alignment horizontal="center"/>
    </xf>
    <xf numFmtId="11" fontId="6" fillId="0" borderId="0" xfId="0" applyNumberFormat="1" applyFont="1" applyAlignment="1"/>
    <xf numFmtId="0" fontId="40" fillId="0" borderId="72" xfId="0" applyFont="1" applyBorder="1" applyAlignment="1">
      <alignment horizontal="center"/>
    </xf>
    <xf numFmtId="0" fontId="40" fillId="0" borderId="0" xfId="0" applyFont="1" applyBorder="1" applyAlignment="1">
      <alignment horizontal="left"/>
    </xf>
    <xf numFmtId="0" fontId="41" fillId="2" borderId="21" xfId="0" applyFont="1" applyFill="1" applyBorder="1" applyAlignment="1" applyProtection="1">
      <alignment horizontal="left"/>
      <protection locked="0"/>
    </xf>
    <xf numFmtId="0" fontId="6" fillId="0" borderId="0" xfId="0" applyFont="1" applyAlignment="1">
      <alignment horizontal="center"/>
    </xf>
    <xf numFmtId="0" fontId="29" fillId="0" borderId="5" xfId="0" applyNumberFormat="1" applyFont="1" applyBorder="1" applyProtection="1">
      <protection locked="0"/>
    </xf>
    <xf numFmtId="0" fontId="29" fillId="0" borderId="6" xfId="0" applyNumberFormat="1" applyFont="1" applyBorder="1" applyAlignment="1" applyProtection="1">
      <alignment horizontal="center"/>
      <protection locked="0"/>
    </xf>
    <xf numFmtId="0" fontId="34" fillId="0" borderId="5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29" fillId="0" borderId="0" xfId="0" applyFont="1" applyProtection="1">
      <protection locked="0"/>
    </xf>
    <xf numFmtId="0" fontId="0" fillId="0" borderId="36" xfId="0" applyBorder="1" applyAlignment="1" applyProtection="1">
      <alignment horizont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0" fontId="0" fillId="0" borderId="38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31" fillId="0" borderId="45" xfId="0" applyFont="1" applyBorder="1" applyAlignment="1" applyProtection="1">
      <alignment horizontal="center"/>
      <protection locked="0"/>
    </xf>
    <xf numFmtId="0" fontId="0" fillId="0" borderId="41" xfId="0" applyBorder="1" applyAlignment="1" applyProtection="1">
      <alignment horizontal="center"/>
      <protection locked="0"/>
    </xf>
    <xf numFmtId="0" fontId="28" fillId="0" borderId="41" xfId="0" applyFont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center"/>
      <protection locked="0"/>
    </xf>
    <xf numFmtId="0" fontId="0" fillId="8" borderId="2" xfId="0" applyFill="1" applyBorder="1" applyAlignment="1" applyProtection="1">
      <alignment horizontal="center"/>
      <protection locked="0"/>
    </xf>
    <xf numFmtId="0" fontId="0" fillId="8" borderId="3" xfId="0" applyFill="1" applyBorder="1" applyAlignment="1" applyProtection="1">
      <alignment horizontal="center"/>
      <protection locked="0"/>
    </xf>
    <xf numFmtId="0" fontId="33" fillId="0" borderId="5" xfId="0" applyNumberFormat="1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29" fillId="0" borderId="52" xfId="0" applyNumberFormat="1" applyFont="1" applyBorder="1" applyAlignment="1" applyProtection="1">
      <protection locked="0"/>
    </xf>
    <xf numFmtId="0" fontId="29" fillId="0" borderId="51" xfId="0" applyNumberFormat="1" applyFont="1" applyBorder="1" applyAlignment="1" applyProtection="1">
      <protection locked="0"/>
    </xf>
    <xf numFmtId="0" fontId="0" fillId="0" borderId="9" xfId="0" applyNumberFormat="1" applyFont="1" applyBorder="1" applyAlignment="1" applyProtection="1">
      <alignment horizontal="center"/>
      <protection locked="0"/>
    </xf>
    <xf numFmtId="0" fontId="0" fillId="0" borderId="2" xfId="0" applyNumberFormat="1" applyFont="1" applyBorder="1" applyAlignment="1" applyProtection="1">
      <alignment horizontal="center"/>
      <protection locked="0"/>
    </xf>
    <xf numFmtId="0" fontId="29" fillId="0" borderId="65" xfId="0" applyNumberFormat="1" applyFont="1" applyBorder="1" applyAlignment="1" applyProtection="1">
      <alignment horizontal="center"/>
      <protection locked="0"/>
    </xf>
    <xf numFmtId="0" fontId="1" fillId="0" borderId="5" xfId="0" applyFont="1" applyBorder="1" applyProtection="1">
      <protection locked="0"/>
    </xf>
    <xf numFmtId="0" fontId="25" fillId="0" borderId="5" xfId="0" applyFont="1" applyBorder="1" applyProtection="1">
      <protection locked="0"/>
    </xf>
    <xf numFmtId="0" fontId="3" fillId="0" borderId="0" xfId="0" applyNumberFormat="1" applyFont="1" applyBorder="1" applyAlignment="1" applyProtection="1">
      <alignment horizontal="center"/>
      <protection locked="0"/>
    </xf>
    <xf numFmtId="0" fontId="34" fillId="0" borderId="53" xfId="0" applyNumberFormat="1" applyFont="1" applyBorder="1" applyAlignment="1" applyProtection="1">
      <protection locked="0"/>
    </xf>
    <xf numFmtId="0" fontId="34" fillId="0" borderId="54" xfId="0" applyNumberFormat="1" applyFont="1" applyBorder="1" applyAlignment="1" applyProtection="1">
      <protection locked="0"/>
    </xf>
    <xf numFmtId="0" fontId="0" fillId="0" borderId="55" xfId="0" applyNumberFormat="1" applyFont="1" applyBorder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8" borderId="5" xfId="0" applyFill="1" applyBorder="1" applyProtection="1">
      <protection locked="0"/>
    </xf>
    <xf numFmtId="0" fontId="0" fillId="0" borderId="6" xfId="0" applyNumberFormat="1" applyFont="1" applyBorder="1" applyAlignment="1" applyProtection="1">
      <alignment horizontal="center"/>
      <protection locked="0"/>
    </xf>
    <xf numFmtId="0" fontId="29" fillId="0" borderId="67" xfId="0" applyNumberFormat="1" applyFont="1" applyBorder="1" applyAlignment="1" applyProtection="1">
      <alignment horizontal="center"/>
      <protection locked="0"/>
    </xf>
    <xf numFmtId="0" fontId="2" fillId="0" borderId="5" xfId="0" applyNumberFormat="1" applyFont="1" applyBorder="1" applyAlignment="1" applyProtection="1">
      <alignment horizontal="center"/>
      <protection locked="0"/>
    </xf>
    <xf numFmtId="0" fontId="0" fillId="0" borderId="5" xfId="0" applyFill="1" applyBorder="1" applyAlignment="1" applyProtection="1">
      <alignment horizontal="center"/>
      <protection locked="0"/>
    </xf>
    <xf numFmtId="0" fontId="0" fillId="0" borderId="5" xfId="0" applyNumberFormat="1" applyFont="1" applyBorder="1" applyAlignment="1" applyProtection="1">
      <alignment horizontal="center"/>
      <protection locked="0"/>
    </xf>
    <xf numFmtId="0" fontId="3" fillId="0" borderId="5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8" borderId="6" xfId="0" applyFill="1" applyBorder="1" applyProtection="1">
      <protection locked="0"/>
    </xf>
    <xf numFmtId="0" fontId="0" fillId="8" borderId="11" xfId="0" applyFill="1" applyBorder="1" applyAlignment="1" applyProtection="1">
      <alignment horizontal="center"/>
      <protection locked="0"/>
    </xf>
    <xf numFmtId="0" fontId="0" fillId="8" borderId="43" xfId="0" applyFill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8" borderId="44" xfId="0" applyFill="1" applyBorder="1" applyAlignment="1" applyProtection="1">
      <alignment horizontal="center"/>
      <protection locked="0"/>
    </xf>
    <xf numFmtId="0" fontId="0" fillId="0" borderId="0" xfId="0" applyFont="1" applyProtection="1">
      <protection locked="0"/>
    </xf>
    <xf numFmtId="0" fontId="0" fillId="0" borderId="0" xfId="0" applyNumberFormat="1" applyFont="1" applyBorder="1" applyAlignment="1" applyProtection="1">
      <alignment horizontal="center"/>
      <protection locked="0"/>
    </xf>
    <xf numFmtId="0" fontId="0" fillId="8" borderId="0" xfId="0" applyNumberFormat="1" applyFont="1" applyFill="1" applyBorder="1" applyAlignment="1" applyProtection="1">
      <alignment horizontal="center"/>
      <protection locked="0"/>
    </xf>
    <xf numFmtId="0" fontId="0" fillId="8" borderId="5" xfId="0" applyNumberFormat="1" applyFont="1" applyFill="1" applyBorder="1" applyAlignment="1" applyProtection="1">
      <alignment horizontal="center"/>
      <protection locked="0"/>
    </xf>
    <xf numFmtId="0" fontId="0" fillId="0" borderId="2" xfId="0" applyNumberFormat="1" applyBorder="1" applyAlignment="1" applyProtection="1">
      <alignment horizontal="center"/>
      <protection locked="0"/>
    </xf>
    <xf numFmtId="0" fontId="0" fillId="8" borderId="2" xfId="0" applyNumberFormat="1" applyFill="1" applyBorder="1" applyAlignment="1" applyProtection="1">
      <alignment horizontal="center"/>
      <protection locked="0"/>
    </xf>
    <xf numFmtId="0" fontId="0" fillId="0" borderId="5" xfId="0" applyNumberFormat="1" applyBorder="1" applyAlignment="1" applyProtection="1">
      <alignment horizontal="center"/>
      <protection locked="0"/>
    </xf>
    <xf numFmtId="0" fontId="0" fillId="8" borderId="5" xfId="0" applyNumberFormat="1" applyFill="1" applyBorder="1" applyAlignment="1" applyProtection="1">
      <alignment horizontal="center"/>
      <protection locked="0"/>
    </xf>
    <xf numFmtId="0" fontId="0" fillId="8" borderId="59" xfId="0" applyFill="1" applyBorder="1" applyAlignment="1" applyProtection="1">
      <alignment horizontal="center"/>
      <protection locked="0"/>
    </xf>
    <xf numFmtId="0" fontId="0" fillId="0" borderId="5" xfId="0" applyNumberFormat="1" applyBorder="1" applyProtection="1">
      <protection locked="0"/>
    </xf>
    <xf numFmtId="0" fontId="0" fillId="8" borderId="5" xfId="0" applyNumberFormat="1" applyFill="1" applyBorder="1" applyProtection="1">
      <protection locked="0"/>
    </xf>
    <xf numFmtId="0" fontId="0" fillId="8" borderId="5" xfId="0" applyNumberFormat="1" applyFont="1" applyFill="1" applyBorder="1" applyProtection="1">
      <protection locked="0"/>
    </xf>
    <xf numFmtId="0" fontId="0" fillId="8" borderId="60" xfId="0" applyFill="1" applyBorder="1" applyProtection="1">
      <protection locked="0"/>
    </xf>
    <xf numFmtId="0" fontId="0" fillId="8" borderId="5" xfId="0" applyFont="1" applyFill="1" applyBorder="1" applyProtection="1">
      <protection locked="0"/>
    </xf>
    <xf numFmtId="0" fontId="0" fillId="8" borderId="44" xfId="0" applyFill="1" applyBorder="1" applyProtection="1">
      <protection locked="0"/>
    </xf>
    <xf numFmtId="0" fontId="0" fillId="0" borderId="56" xfId="0" applyBorder="1" applyProtection="1">
      <protection locked="0"/>
    </xf>
    <xf numFmtId="0" fontId="29" fillId="0" borderId="73" xfId="0" applyNumberFormat="1" applyFont="1" applyBorder="1" applyAlignment="1" applyProtection="1">
      <alignment horizontal="center"/>
      <protection hidden="1"/>
    </xf>
    <xf numFmtId="0" fontId="29" fillId="0" borderId="4" xfId="0" applyNumberFormat="1" applyFont="1" applyBorder="1" applyAlignment="1" applyProtection="1">
      <alignment horizontal="center"/>
      <protection hidden="1"/>
    </xf>
    <xf numFmtId="0" fontId="29" fillId="0" borderId="65" xfId="0" applyNumberFormat="1" applyFont="1" applyBorder="1" applyAlignment="1" applyProtection="1">
      <alignment horizontal="center"/>
      <protection hidden="1"/>
    </xf>
    <xf numFmtId="0" fontId="29" fillId="0" borderId="56" xfId="0" applyNumberFormat="1" applyFont="1" applyBorder="1" applyAlignment="1" applyProtection="1">
      <alignment horizontal="center"/>
      <protection hidden="1"/>
    </xf>
    <xf numFmtId="0" fontId="29" fillId="0" borderId="5" xfId="0" applyNumberFormat="1" applyFont="1" applyBorder="1" applyAlignment="1" applyProtection="1">
      <alignment horizontal="center"/>
      <protection hidden="1"/>
    </xf>
    <xf numFmtId="0" fontId="29" fillId="0" borderId="6" xfId="0" applyNumberFormat="1" applyFont="1" applyBorder="1" applyAlignment="1" applyProtection="1">
      <alignment horizontal="center"/>
      <protection hidden="1"/>
    </xf>
    <xf numFmtId="0" fontId="29" fillId="0" borderId="67" xfId="0" applyNumberFormat="1" applyFont="1" applyBorder="1" applyAlignment="1" applyProtection="1">
      <alignment horizontal="center"/>
      <protection hidden="1"/>
    </xf>
    <xf numFmtId="0" fontId="29" fillId="0" borderId="66" xfId="0" applyNumberFormat="1" applyFont="1" applyBorder="1" applyAlignment="1" applyProtection="1">
      <alignment horizontal="center"/>
      <protection hidden="1"/>
    </xf>
    <xf numFmtId="0" fontId="42" fillId="0" borderId="6" xfId="0" applyNumberFormat="1" applyFont="1" applyBorder="1" applyAlignment="1" applyProtection="1">
      <alignment horizontal="center"/>
      <protection hidden="1"/>
    </xf>
    <xf numFmtId="0" fontId="27" fillId="0" borderId="6" xfId="0" applyNumberFormat="1" applyFont="1" applyBorder="1" applyAlignment="1" applyProtection="1">
      <alignment horizontal="center"/>
      <protection hidden="1"/>
    </xf>
    <xf numFmtId="0" fontId="43" fillId="0" borderId="5" xfId="0" applyNumberFormat="1" applyFont="1" applyBorder="1" applyAlignment="1" applyProtection="1">
      <alignment horizontal="center"/>
      <protection hidden="1"/>
    </xf>
    <xf numFmtId="0" fontId="28" fillId="0" borderId="5" xfId="0" applyNumberFormat="1" applyFont="1" applyBorder="1" applyAlignment="1" applyProtection="1">
      <alignment horizontal="center"/>
      <protection hidden="1"/>
    </xf>
    <xf numFmtId="0" fontId="30" fillId="0" borderId="73" xfId="0" applyNumberFormat="1" applyFont="1" applyBorder="1" applyAlignment="1" applyProtection="1">
      <alignment horizontal="center"/>
      <protection hidden="1"/>
    </xf>
    <xf numFmtId="0" fontId="30" fillId="0" borderId="5" xfId="0" applyNumberFormat="1" applyFont="1" applyBorder="1" applyAlignment="1" applyProtection="1">
      <alignment horizontal="center"/>
      <protection hidden="1"/>
    </xf>
    <xf numFmtId="0" fontId="33" fillId="0" borderId="5" xfId="0" applyNumberFormat="1" applyFont="1" applyBorder="1" applyAlignment="1" applyProtection="1">
      <alignment horizontal="center"/>
      <protection hidden="1"/>
    </xf>
    <xf numFmtId="0" fontId="6" fillId="0" borderId="70" xfId="0" applyFont="1" applyBorder="1" applyAlignment="1">
      <alignment horizontal="center"/>
    </xf>
    <xf numFmtId="0" fontId="6" fillId="0" borderId="71" xfId="0" applyFont="1" applyBorder="1" applyAlignment="1">
      <alignment horizontal="center"/>
    </xf>
    <xf numFmtId="0" fontId="0" fillId="0" borderId="18" xfId="0" applyBorder="1" applyProtection="1">
      <protection locked="0"/>
    </xf>
    <xf numFmtId="0" fontId="0" fillId="0" borderId="16" xfId="0" applyBorder="1" applyProtection="1">
      <protection locked="0"/>
    </xf>
    <xf numFmtId="0" fontId="11" fillId="0" borderId="18" xfId="0" applyFont="1" applyBorder="1" applyProtection="1">
      <protection locked="0"/>
    </xf>
    <xf numFmtId="0" fontId="11" fillId="0" borderId="16" xfId="0" applyNumberFormat="1" applyFont="1" applyBorder="1" applyProtection="1">
      <protection locked="0"/>
    </xf>
    <xf numFmtId="0" fontId="18" fillId="5" borderId="20" xfId="0" applyFont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6" xfId="0" applyFill="1" applyBorder="1" applyProtection="1">
      <protection locked="0"/>
    </xf>
    <xf numFmtId="0" fontId="2" fillId="0" borderId="0" xfId="0" applyFont="1" applyProtection="1">
      <protection locked="0"/>
    </xf>
    <xf numFmtId="0" fontId="0" fillId="2" borderId="14" xfId="0" applyFill="1" applyBorder="1" applyProtection="1">
      <protection locked="0"/>
    </xf>
    <xf numFmtId="0" fontId="0" fillId="2" borderId="15" xfId="0" applyFill="1" applyBorder="1" applyProtection="1">
      <protection locked="0"/>
    </xf>
    <xf numFmtId="0" fontId="0" fillId="3" borderId="0" xfId="0" applyFill="1" applyProtection="1">
      <protection locked="0"/>
    </xf>
    <xf numFmtId="0" fontId="3" fillId="2" borderId="21" xfId="0" applyFont="1" applyFill="1" applyBorder="1" applyProtection="1">
      <protection hidden="1"/>
    </xf>
    <xf numFmtId="0" fontId="3" fillId="2" borderId="21" xfId="0" applyFont="1" applyFill="1" applyBorder="1" applyAlignment="1" applyProtection="1">
      <alignment horizontal="left"/>
      <protection hidden="1"/>
    </xf>
    <xf numFmtId="0" fontId="6" fillId="0" borderId="0" xfId="0" applyFont="1" applyAlignment="1" applyProtection="1">
      <alignment horizontal="left"/>
      <protection locked="0"/>
    </xf>
    <xf numFmtId="0" fontId="17" fillId="0" borderId="0" xfId="0" applyFont="1" applyAlignment="1" applyProtection="1">
      <alignment horizontal="left"/>
      <protection locked="0"/>
    </xf>
    <xf numFmtId="0" fontId="6" fillId="0" borderId="0" xfId="0" applyFont="1" applyProtection="1">
      <protection locked="0"/>
    </xf>
    <xf numFmtId="0" fontId="6" fillId="0" borderId="22" xfId="0" applyFont="1" applyBorder="1" applyProtection="1">
      <protection locked="0"/>
    </xf>
    <xf numFmtId="0" fontId="23" fillId="0" borderId="0" xfId="0" applyFont="1" applyProtection="1">
      <protection locked="0"/>
    </xf>
    <xf numFmtId="0" fontId="6" fillId="0" borderId="24" xfId="0" applyFont="1" applyBorder="1" applyProtection="1">
      <protection locked="0"/>
    </xf>
    <xf numFmtId="0" fontId="17" fillId="0" borderId="0" xfId="0" applyFont="1" applyProtection="1">
      <protection locked="0"/>
    </xf>
    <xf numFmtId="0" fontId="6" fillId="0" borderId="29" xfId="0" applyFont="1" applyBorder="1" applyProtection="1">
      <protection locked="0"/>
    </xf>
    <xf numFmtId="0" fontId="6" fillId="0" borderId="28" xfId="0" applyFont="1" applyBorder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0" fontId="6" fillId="0" borderId="29" xfId="0" applyNumberFormat="1" applyFont="1" applyBorder="1" applyAlignment="1" applyProtection="1">
      <alignment horizontal="center"/>
      <protection locked="0"/>
    </xf>
    <xf numFmtId="0" fontId="6" fillId="0" borderId="25" xfId="0" applyFont="1" applyBorder="1" applyProtection="1">
      <protection locked="0"/>
    </xf>
    <xf numFmtId="0" fontId="6" fillId="0" borderId="27" xfId="0" applyFont="1" applyBorder="1" applyProtection="1">
      <protection locked="0"/>
    </xf>
    <xf numFmtId="0" fontId="6" fillId="0" borderId="0" xfId="0" applyFont="1" applyBorder="1" applyProtection="1">
      <protection locked="0"/>
    </xf>
    <xf numFmtId="0" fontId="7" fillId="0" borderId="0" xfId="0" applyFont="1" applyProtection="1">
      <protection locked="0"/>
    </xf>
    <xf numFmtId="0" fontId="20" fillId="0" borderId="0" xfId="0" applyFont="1" applyBorder="1" applyProtection="1">
      <protection locked="0"/>
    </xf>
    <xf numFmtId="0" fontId="6" fillId="0" borderId="31" xfId="0" applyFont="1" applyBorder="1" applyProtection="1">
      <protection locked="0"/>
    </xf>
    <xf numFmtId="0" fontId="6" fillId="0" borderId="32" xfId="0" applyFont="1" applyBorder="1" applyProtection="1">
      <protection locked="0"/>
    </xf>
    <xf numFmtId="0" fontId="6" fillId="0" borderId="26" xfId="0" applyFont="1" applyBorder="1" applyProtection="1">
      <protection locked="0"/>
    </xf>
    <xf numFmtId="0" fontId="6" fillId="0" borderId="23" xfId="0" applyFont="1" applyBorder="1" applyProtection="1">
      <protection locked="0"/>
    </xf>
    <xf numFmtId="0" fontId="6" fillId="2" borderId="0" xfId="0" applyFont="1" applyFill="1" applyAlignment="1" applyProtection="1">
      <alignment horizontal="left"/>
      <protection locked="0"/>
    </xf>
    <xf numFmtId="0" fontId="17" fillId="2" borderId="0" xfId="0" applyFont="1" applyFill="1" applyAlignment="1" applyProtection="1">
      <alignment horizontal="left"/>
      <protection locked="0"/>
    </xf>
    <xf numFmtId="0" fontId="44" fillId="0" borderId="0" xfId="0" applyFont="1" applyProtection="1">
      <protection locked="0"/>
    </xf>
    <xf numFmtId="0" fontId="20" fillId="0" borderId="23" xfId="0" applyFont="1" applyBorder="1" applyProtection="1">
      <protection hidden="1"/>
    </xf>
    <xf numFmtId="0" fontId="20" fillId="0" borderId="26" xfId="0" applyFont="1" applyBorder="1" applyProtection="1">
      <protection hidden="1"/>
    </xf>
    <xf numFmtId="0" fontId="20" fillId="0" borderId="30" xfId="0" applyFont="1" applyBorder="1" applyProtection="1">
      <protection hidden="1"/>
    </xf>
    <xf numFmtId="0" fontId="2" fillId="0" borderId="71" xfId="0" applyFont="1" applyBorder="1" applyAlignment="1">
      <alignment horizontal="center"/>
    </xf>
    <xf numFmtId="0" fontId="29" fillId="0" borderId="13" xfId="0" applyNumberFormat="1" applyFont="1" applyBorder="1" applyAlignment="1" applyProtection="1">
      <protection locked="0"/>
    </xf>
    <xf numFmtId="0" fontId="0" fillId="0" borderId="0" xfId="0" applyNumberFormat="1" applyFont="1" applyBorder="1" applyAlignment="1" applyProtection="1">
      <protection locked="0"/>
    </xf>
    <xf numFmtId="0" fontId="33" fillId="0" borderId="6" xfId="0" applyNumberFormat="1" applyFont="1" applyBorder="1" applyAlignment="1" applyProtection="1">
      <alignment horizontal="center"/>
      <protection locked="0"/>
    </xf>
    <xf numFmtId="0" fontId="29" fillId="0" borderId="4" xfId="0" applyNumberFormat="1" applyFont="1" applyBorder="1" applyAlignment="1" applyProtection="1">
      <alignment horizontal="center"/>
      <protection locked="0"/>
    </xf>
    <xf numFmtId="0" fontId="29" fillId="0" borderId="75" xfId="0" applyNumberFormat="1" applyFont="1" applyBorder="1" applyAlignment="1" applyProtection="1">
      <alignment horizontal="center"/>
      <protection hidden="1"/>
    </xf>
    <xf numFmtId="0" fontId="0" fillId="0" borderId="77" xfId="0" applyNumberFormat="1" applyFont="1" applyBorder="1" applyAlignment="1" applyProtection="1">
      <alignment horizontal="center"/>
      <protection locked="0"/>
    </xf>
    <xf numFmtId="0" fontId="33" fillId="0" borderId="77" xfId="0" applyNumberFormat="1" applyFont="1" applyBorder="1" applyAlignment="1" applyProtection="1">
      <alignment horizontal="center"/>
      <protection locked="0"/>
    </xf>
    <xf numFmtId="0" fontId="29" fillId="0" borderId="77" xfId="0" applyNumberFormat="1" applyFont="1" applyBorder="1" applyAlignment="1" applyProtection="1">
      <alignment horizontal="center"/>
      <protection hidden="1"/>
    </xf>
    <xf numFmtId="0" fontId="34" fillId="0" borderId="6" xfId="0" applyNumberFormat="1" applyFont="1" applyBorder="1" applyAlignment="1" applyProtection="1">
      <alignment horizontal="center"/>
      <protection locked="0"/>
    </xf>
    <xf numFmtId="0" fontId="29" fillId="0" borderId="77" xfId="0" applyNumberFormat="1" applyFont="1" applyBorder="1" applyAlignment="1" applyProtection="1">
      <alignment horizontal="center"/>
      <protection locked="0"/>
    </xf>
    <xf numFmtId="0" fontId="29" fillId="0" borderId="78" xfId="0" applyNumberFormat="1" applyFont="1" applyBorder="1" applyAlignment="1" applyProtection="1">
      <alignment horizontal="center"/>
      <protection hidden="1"/>
    </xf>
    <xf numFmtId="0" fontId="28" fillId="0" borderId="0" xfId="0" applyFont="1" applyBorder="1" applyAlignment="1" applyProtection="1">
      <alignment horizontal="center" wrapText="1"/>
      <protection locked="0"/>
    </xf>
    <xf numFmtId="0" fontId="28" fillId="0" borderId="1" xfId="0" applyFont="1" applyBorder="1" applyAlignment="1" applyProtection="1">
      <alignment horizontal="center"/>
      <protection locked="0"/>
    </xf>
    <xf numFmtId="0" fontId="28" fillId="0" borderId="0" xfId="0" applyFont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center"/>
      <protection locked="0"/>
    </xf>
    <xf numFmtId="0" fontId="31" fillId="0" borderId="42" xfId="0" applyFont="1" applyBorder="1" applyAlignment="1" applyProtection="1">
      <alignment horizontal="center" wrapText="1"/>
      <protection locked="0"/>
    </xf>
    <xf numFmtId="0" fontId="36" fillId="0" borderId="43" xfId="0" applyFont="1" applyBorder="1" applyAlignment="1" applyProtection="1">
      <alignment horizontal="center"/>
      <protection locked="0"/>
    </xf>
    <xf numFmtId="0" fontId="36" fillId="0" borderId="13" xfId="0" applyFont="1" applyBorder="1" applyAlignment="1" applyProtection="1">
      <alignment horizontal="center"/>
      <protection locked="0"/>
    </xf>
    <xf numFmtId="0" fontId="36" fillId="0" borderId="44" xfId="0" applyFont="1" applyBorder="1" applyAlignment="1" applyProtection="1">
      <alignment horizontal="center"/>
      <protection locked="0"/>
    </xf>
    <xf numFmtId="0" fontId="31" fillId="0" borderId="57" xfId="0" applyNumberFormat="1" applyFont="1" applyBorder="1" applyAlignment="1" applyProtection="1">
      <alignment horizontal="left"/>
      <protection locked="0"/>
    </xf>
    <xf numFmtId="0" fontId="31" fillId="0" borderId="5" xfId="0" applyNumberFormat="1" applyFont="1" applyBorder="1" applyAlignment="1" applyProtection="1">
      <alignment horizontal="left"/>
      <protection locked="0"/>
    </xf>
    <xf numFmtId="0" fontId="26" fillId="0" borderId="57" xfId="0" applyNumberFormat="1" applyFont="1" applyBorder="1" applyAlignment="1" applyProtection="1">
      <alignment horizontal="left"/>
      <protection locked="0"/>
    </xf>
    <xf numFmtId="0" fontId="26" fillId="0" borderId="5" xfId="0" applyNumberFormat="1" applyFont="1" applyBorder="1" applyAlignment="1" applyProtection="1">
      <alignment horizontal="left"/>
      <protection locked="0"/>
    </xf>
    <xf numFmtId="0" fontId="26" fillId="0" borderId="57" xfId="0" applyFont="1" applyFill="1" applyBorder="1" applyAlignment="1" applyProtection="1">
      <alignment horizontal="left"/>
      <protection locked="0"/>
    </xf>
    <xf numFmtId="0" fontId="26" fillId="0" borderId="5" xfId="0" applyFont="1" applyFill="1" applyBorder="1" applyAlignment="1" applyProtection="1">
      <alignment horizontal="left"/>
      <protection locked="0"/>
    </xf>
    <xf numFmtId="0" fontId="26" fillId="0" borderId="58" xfId="0" applyFont="1" applyFill="1" applyBorder="1" applyAlignment="1" applyProtection="1">
      <alignment horizontal="left"/>
      <protection locked="0"/>
    </xf>
    <xf numFmtId="0" fontId="26" fillId="0" borderId="56" xfId="0" applyFont="1" applyFill="1" applyBorder="1" applyAlignment="1" applyProtection="1">
      <alignment horizontal="left"/>
      <protection locked="0"/>
    </xf>
    <xf numFmtId="0" fontId="0" fillId="0" borderId="63" xfId="0" applyBorder="1" applyAlignment="1" applyProtection="1">
      <alignment horizontal="center"/>
      <protection locked="0"/>
    </xf>
    <xf numFmtId="0" fontId="0" fillId="0" borderId="50" xfId="0" applyBorder="1" applyAlignment="1" applyProtection="1">
      <alignment horizontal="center"/>
      <protection locked="0"/>
    </xf>
    <xf numFmtId="0" fontId="0" fillId="0" borderId="64" xfId="0" applyBorder="1" applyAlignment="1" applyProtection="1">
      <alignment horizontal="center"/>
      <protection locked="0"/>
    </xf>
    <xf numFmtId="0" fontId="0" fillId="0" borderId="61" xfId="0" applyBorder="1" applyAlignment="1" applyProtection="1">
      <alignment horizontal="center"/>
      <protection locked="0"/>
    </xf>
    <xf numFmtId="0" fontId="0" fillId="0" borderId="62" xfId="0" applyBorder="1" applyAlignment="1" applyProtection="1">
      <alignment horizontal="center"/>
      <protection locked="0"/>
    </xf>
    <xf numFmtId="0" fontId="0" fillId="0" borderId="55" xfId="0" applyBorder="1" applyAlignment="1" applyProtection="1">
      <alignment horizontal="center"/>
      <protection locked="0"/>
    </xf>
    <xf numFmtId="0" fontId="33" fillId="7" borderId="46" xfId="0" applyFont="1" applyFill="1" applyBorder="1" applyAlignment="1" applyProtection="1">
      <alignment horizontal="center"/>
      <protection locked="0"/>
    </xf>
    <xf numFmtId="0" fontId="27" fillId="7" borderId="47" xfId="0" applyFont="1" applyFill="1" applyBorder="1" applyAlignment="1" applyProtection="1">
      <alignment horizontal="center"/>
      <protection locked="0"/>
    </xf>
    <xf numFmtId="0" fontId="27" fillId="7" borderId="48" xfId="0" applyFont="1" applyFill="1" applyBorder="1" applyAlignment="1" applyProtection="1">
      <alignment horizontal="center"/>
      <protection locked="0"/>
    </xf>
    <xf numFmtId="0" fontId="34" fillId="0" borderId="34" xfId="0" applyFont="1" applyBorder="1" applyAlignment="1" applyProtection="1">
      <alignment horizontal="center" wrapText="1"/>
      <protection locked="0"/>
    </xf>
    <xf numFmtId="0" fontId="34" fillId="0" borderId="35" xfId="0" applyFont="1" applyBorder="1" applyAlignment="1" applyProtection="1">
      <alignment horizontal="center"/>
      <protection locked="0"/>
    </xf>
    <xf numFmtId="0" fontId="34" fillId="0" borderId="37" xfId="0" applyFont="1" applyBorder="1" applyAlignment="1" applyProtection="1">
      <alignment horizontal="center"/>
      <protection locked="0"/>
    </xf>
    <xf numFmtId="0" fontId="34" fillId="0" borderId="0" xfId="0" applyFont="1" applyBorder="1" applyAlignment="1" applyProtection="1">
      <alignment horizontal="center"/>
      <protection locked="0"/>
    </xf>
    <xf numFmtId="0" fontId="34" fillId="0" borderId="49" xfId="0" applyFont="1" applyBorder="1" applyAlignment="1" applyProtection="1">
      <alignment horizontal="center"/>
      <protection locked="0"/>
    </xf>
    <xf numFmtId="0" fontId="34" fillId="0" borderId="50" xfId="0" applyFont="1" applyBorder="1" applyAlignment="1" applyProtection="1">
      <alignment horizontal="center"/>
      <protection locked="0"/>
    </xf>
    <xf numFmtId="0" fontId="33" fillId="7" borderId="46" xfId="0" applyNumberFormat="1" applyFont="1" applyFill="1" applyBorder="1" applyAlignment="1" applyProtection="1">
      <alignment horizontal="center"/>
      <protection locked="0"/>
    </xf>
    <xf numFmtId="0" fontId="27" fillId="7" borderId="47" xfId="0" applyNumberFormat="1" applyFont="1" applyFill="1" applyBorder="1" applyAlignment="1" applyProtection="1">
      <alignment horizontal="center"/>
      <protection locked="0"/>
    </xf>
    <xf numFmtId="0" fontId="27" fillId="7" borderId="48" xfId="0" applyNumberFormat="1" applyFont="1" applyFill="1" applyBorder="1" applyAlignment="1" applyProtection="1">
      <alignment horizontal="center"/>
      <protection locked="0"/>
    </xf>
    <xf numFmtId="0" fontId="26" fillId="0" borderId="39" xfId="0" applyFont="1" applyBorder="1" applyAlignment="1" applyProtection="1">
      <alignment horizontal="center"/>
      <protection locked="0"/>
    </xf>
    <xf numFmtId="0" fontId="26" fillId="0" borderId="40" xfId="0" applyFont="1" applyBorder="1" applyAlignment="1" applyProtection="1">
      <alignment horizontal="center"/>
      <protection locked="0"/>
    </xf>
    <xf numFmtId="0" fontId="26" fillId="0" borderId="33" xfId="0" applyFont="1" applyBorder="1" applyAlignment="1" applyProtection="1">
      <alignment horizontal="center"/>
      <protection locked="0"/>
    </xf>
    <xf numFmtId="0" fontId="31" fillId="0" borderId="37" xfId="0" applyFont="1" applyBorder="1" applyAlignment="1" applyProtection="1">
      <alignment horizontal="center" wrapText="1"/>
      <protection locked="0"/>
    </xf>
    <xf numFmtId="0" fontId="31" fillId="0" borderId="37" xfId="0" applyFont="1" applyBorder="1" applyAlignment="1" applyProtection="1">
      <alignment horizontal="center"/>
      <protection locked="0"/>
    </xf>
    <xf numFmtId="0" fontId="26" fillId="0" borderId="34" xfId="0" applyFont="1" applyBorder="1" applyAlignment="1" applyProtection="1">
      <alignment horizontal="center" wrapText="1"/>
      <protection locked="0"/>
    </xf>
    <xf numFmtId="0" fontId="26" fillId="0" borderId="36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6" fillId="0" borderId="38" xfId="0" applyFont="1" applyBorder="1" applyAlignment="1" applyProtection="1">
      <alignment horizontal="center"/>
      <protection locked="0"/>
    </xf>
    <xf numFmtId="0" fontId="31" fillId="0" borderId="34" xfId="0" applyFont="1" applyBorder="1" applyAlignment="1" applyProtection="1">
      <alignment horizontal="center" wrapText="1"/>
      <protection locked="0"/>
    </xf>
    <xf numFmtId="0" fontId="31" fillId="0" borderId="36" xfId="0" applyFont="1" applyBorder="1" applyAlignment="1" applyProtection="1">
      <alignment horizontal="center"/>
      <protection locked="0"/>
    </xf>
    <xf numFmtId="0" fontId="31" fillId="0" borderId="38" xfId="0" applyFont="1" applyBorder="1" applyAlignment="1" applyProtection="1">
      <alignment horizontal="center"/>
      <protection locked="0"/>
    </xf>
    <xf numFmtId="0" fontId="38" fillId="0" borderId="39" xfId="0" applyFont="1" applyBorder="1" applyAlignment="1" applyProtection="1">
      <alignment horizontal="center" wrapText="1"/>
      <protection locked="0"/>
    </xf>
    <xf numFmtId="0" fontId="38" fillId="0" borderId="33" xfId="0" applyFont="1" applyBorder="1" applyAlignment="1" applyProtection="1">
      <alignment horizontal="center"/>
      <protection locked="0"/>
    </xf>
    <xf numFmtId="0" fontId="0" fillId="0" borderId="8" xfId="0" applyFill="1" applyBorder="1" applyAlignment="1" applyProtection="1">
      <alignment horizontal="center"/>
      <protection locked="0"/>
    </xf>
    <xf numFmtId="0" fontId="0" fillId="0" borderId="10" xfId="0" applyFill="1" applyBorder="1" applyAlignment="1" applyProtection="1">
      <alignment horizontal="center"/>
      <protection locked="0"/>
    </xf>
    <xf numFmtId="0" fontId="0" fillId="9" borderId="7" xfId="0" applyFill="1" applyBorder="1" applyAlignment="1" applyProtection="1">
      <alignment horizontal="center"/>
      <protection locked="0"/>
    </xf>
    <xf numFmtId="0" fontId="0" fillId="9" borderId="1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  <protection locked="0"/>
    </xf>
    <xf numFmtId="0" fontId="0" fillId="9" borderId="2" xfId="0" applyFill="1" applyBorder="1" applyAlignment="1" applyProtection="1">
      <alignment horizontal="center"/>
      <protection locked="0"/>
    </xf>
    <xf numFmtId="0" fontId="30" fillId="7" borderId="47" xfId="0" applyNumberFormat="1" applyFont="1" applyFill="1" applyBorder="1" applyAlignment="1" applyProtection="1">
      <alignment horizontal="center"/>
      <protection locked="0"/>
    </xf>
    <xf numFmtId="0" fontId="30" fillId="7" borderId="48" xfId="0" applyNumberFormat="1" applyFont="1" applyFill="1" applyBorder="1" applyAlignment="1" applyProtection="1">
      <alignment horizontal="center"/>
      <protection locked="0"/>
    </xf>
    <xf numFmtId="0" fontId="35" fillId="0" borderId="57" xfId="0" applyNumberFormat="1" applyFont="1" applyBorder="1" applyAlignment="1" applyProtection="1">
      <alignment horizontal="left"/>
      <protection locked="0"/>
    </xf>
    <xf numFmtId="0" fontId="35" fillId="0" borderId="5" xfId="0" applyNumberFormat="1" applyFont="1" applyBorder="1" applyAlignment="1" applyProtection="1">
      <alignment horizontal="left"/>
      <protection locked="0"/>
    </xf>
    <xf numFmtId="0" fontId="29" fillId="0" borderId="57" xfId="0" applyNumberFormat="1" applyFont="1" applyBorder="1" applyAlignment="1" applyProtection="1">
      <alignment horizontal="left"/>
      <protection locked="0"/>
    </xf>
    <xf numFmtId="0" fontId="29" fillId="0" borderId="5" xfId="0" applyNumberFormat="1" applyFont="1" applyBorder="1" applyAlignment="1" applyProtection="1">
      <alignment horizontal="left"/>
      <protection locked="0"/>
    </xf>
    <xf numFmtId="0" fontId="29" fillId="0" borderId="52" xfId="0" applyNumberFormat="1" applyFont="1" applyBorder="1" applyAlignment="1" applyProtection="1">
      <protection locked="0"/>
    </xf>
    <xf numFmtId="0" fontId="29" fillId="0" borderId="9" xfId="0" applyNumberFormat="1" applyFont="1" applyBorder="1" applyAlignment="1" applyProtection="1">
      <protection locked="0"/>
    </xf>
    <xf numFmtId="0" fontId="29" fillId="0" borderId="74" xfId="0" applyNumberFormat="1" applyFont="1" applyBorder="1" applyAlignment="1" applyProtection="1">
      <alignment horizontal="left"/>
      <protection locked="0"/>
    </xf>
    <xf numFmtId="0" fontId="29" fillId="0" borderId="6" xfId="0" applyNumberFormat="1" applyFont="1" applyBorder="1" applyAlignment="1" applyProtection="1">
      <alignment horizontal="left"/>
      <protection locked="0"/>
    </xf>
    <xf numFmtId="0" fontId="29" fillId="0" borderId="57" xfId="0" applyNumberFormat="1" applyFont="1" applyBorder="1" applyAlignment="1" applyProtection="1">
      <alignment horizontal="left" wrapText="1"/>
      <protection locked="0"/>
    </xf>
    <xf numFmtId="0" fontId="29" fillId="0" borderId="5" xfId="0" applyNumberFormat="1" applyFont="1" applyBorder="1" applyAlignment="1" applyProtection="1">
      <alignment horizontal="left" wrapText="1"/>
      <protection locked="0"/>
    </xf>
    <xf numFmtId="0" fontId="0" fillId="0" borderId="5" xfId="0" applyNumberFormat="1" applyFont="1" applyBorder="1" applyAlignment="1" applyProtection="1">
      <alignment horizontal="left"/>
      <protection locked="0"/>
    </xf>
    <xf numFmtId="0" fontId="29" fillId="0" borderId="76" xfId="0" applyNumberFormat="1" applyFont="1" applyBorder="1" applyAlignment="1" applyProtection="1">
      <alignment horizontal="left"/>
      <protection locked="0"/>
    </xf>
    <xf numFmtId="0" fontId="29" fillId="0" borderId="77" xfId="0" applyNumberFormat="1" applyFont="1" applyBorder="1" applyAlignment="1" applyProtection="1">
      <alignment horizontal="left"/>
      <protection locked="0"/>
    </xf>
    <xf numFmtId="0" fontId="34" fillId="0" borderId="6" xfId="0" applyNumberFormat="1" applyFont="1" applyBorder="1" applyAlignment="1" applyProtection="1">
      <alignment horizontal="left"/>
      <protection locked="0"/>
    </xf>
    <xf numFmtId="0" fontId="34" fillId="0" borderId="76" xfId="0" applyNumberFormat="1" applyFont="1" applyBorder="1" applyAlignment="1" applyProtection="1">
      <alignment horizontal="left"/>
      <protection locked="0"/>
    </xf>
    <xf numFmtId="0" fontId="34" fillId="0" borderId="77" xfId="0" applyNumberFormat="1" applyFont="1" applyBorder="1" applyAlignment="1" applyProtection="1">
      <alignment horizontal="left"/>
      <protection locked="0"/>
    </xf>
    <xf numFmtId="0" fontId="29" fillId="0" borderId="74" xfId="0" applyNumberFormat="1" applyFont="1" applyBorder="1" applyAlignment="1" applyProtection="1">
      <alignment horizontal="center"/>
      <protection locked="0"/>
    </xf>
    <xf numFmtId="0" fontId="29" fillId="0" borderId="6" xfId="0" applyNumberFormat="1" applyFont="1" applyBorder="1" applyAlignment="1" applyProtection="1">
      <alignment horizontal="center"/>
      <protection locked="0"/>
    </xf>
    <xf numFmtId="0" fontId="34" fillId="0" borderId="57" xfId="0" applyNumberFormat="1" applyFont="1" applyBorder="1" applyAlignment="1" applyProtection="1">
      <alignment horizontal="left"/>
      <protection locked="0"/>
    </xf>
    <xf numFmtId="0" fontId="34" fillId="0" borderId="5" xfId="0" applyNumberFormat="1" applyFont="1" applyBorder="1" applyAlignment="1" applyProtection="1">
      <alignment horizontal="left"/>
      <protection locked="0"/>
    </xf>
    <xf numFmtId="0" fontId="8" fillId="5" borderId="19" xfId="0" applyFont="1" applyFill="1" applyBorder="1" applyAlignment="1" applyProtection="1">
      <alignment horizontal="center"/>
      <protection locked="0"/>
    </xf>
    <xf numFmtId="0" fontId="22" fillId="6" borderId="0" xfId="1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39" fillId="0" borderId="0" xfId="0" applyFont="1" applyAlignment="1">
      <alignment horizontal="center"/>
    </xf>
  </cellXfs>
  <cellStyles count="2">
    <cellStyle name="40 % - Accent5" xfId="1" builtinId="47"/>
    <cellStyle name="Normal" xfId="0" builtinId="0"/>
  </cellStyles>
  <dxfs count="434"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  <numFmt numFmtId="164" formatCode="d/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fornian FB"/>
        <scheme val="none"/>
      </font>
      <fill>
        <patternFill patternType="solid">
          <fgColor indexed="64"/>
          <bgColor rgb="FF00B0F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</dxfs>
  <tableStyles count="1" defaultTableStyle="TableStyleMedium2" defaultPivotStyle="PivotStyleLight16">
    <tableStyle name="Style de tableau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STATISTIQUE</a:t>
            </a:r>
            <a:r>
              <a:rPr lang="fr-FR" b="1" baseline="0"/>
              <a:t> EN POURCENTAGE </a:t>
            </a:r>
            <a:endParaRPr lang="fr-FR" b="1"/>
          </a:p>
        </c:rich>
      </c:tx>
      <c:layout>
        <c:manualLayout>
          <c:xMode val="edge"/>
          <c:yMode val="edge"/>
          <c:x val="0.26156755592118147"/>
          <c:y val="2.9909081364829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32244838798135306"/>
          <c:y val="0.13199160104986876"/>
          <c:w val="0.42973028557997417"/>
          <c:h val="0.8680083989501312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E5A-4B7D-8DCE-5BDBCE2F5A6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E5A-4B7D-8DCE-5BDBCE2F5A6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dobe Garamond Pro Bold" panose="02020702060506020403" pitchFamily="18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PLM!$H$13:$H$14</c:f>
              <c:strCache>
                <c:ptCount val="2"/>
                <c:pt idx="0">
                  <c:v>GARCONS</c:v>
                </c:pt>
                <c:pt idx="1">
                  <c:v>FILLES</c:v>
                </c:pt>
              </c:strCache>
            </c:strRef>
          </c:cat>
          <c:val>
            <c:numRef>
              <c:f>PLM!$I$13:$I$14</c:f>
              <c:numCache>
                <c:formatCode>General</c:formatCode>
                <c:ptCount val="2"/>
                <c:pt idx="0">
                  <c:v>48</c:v>
                </c:pt>
                <c:pt idx="1">
                  <c:v>31.166666666666668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C-4B59-BD8F-4CE97024B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1"/>
      </c:doughnut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ayout>
        <c:manualLayout>
          <c:xMode val="edge"/>
          <c:yMode val="edge"/>
          <c:x val="6.4042190621694653E-2"/>
          <c:y val="0.23266603674540681"/>
          <c:w val="0.27139773573079484"/>
          <c:h val="8.90763254593175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openxmlformats.org/officeDocument/2006/relationships/hyperlink" Target="#CLS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4" Type="http://schemas.openxmlformats.org/officeDocument/2006/relationships/hyperlink" Target="#BLL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CLS!A1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0</xdr:row>
      <xdr:rowOff>9526</xdr:rowOff>
    </xdr:from>
    <xdr:to>
      <xdr:col>22</xdr:col>
      <xdr:colOff>0</xdr:colOff>
      <xdr:row>2</xdr:row>
      <xdr:rowOff>180976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526" y="9526"/>
          <a:ext cx="7391399" cy="552450"/>
        </a:xfrm>
        <a:prstGeom prst="rect">
          <a:avLst/>
        </a:prstGeom>
        <a:solidFill>
          <a:schemeClr val="lt1"/>
        </a:solidFill>
        <a:ln w="31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 b="1">
              <a:latin typeface="Times New Roman" panose="02020603050405020304" pitchFamily="18" charset="0"/>
              <a:cs typeface="Times New Roman" panose="02020603050405020304" pitchFamily="18" charset="0"/>
            </a:rPr>
            <a:t>REPUBLIQUE</a:t>
          </a:r>
          <a:r>
            <a:rPr lang="fr-FR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DEMOCRATIQUE DU CONGO</a:t>
          </a:r>
        </a:p>
        <a:p>
          <a:pPr algn="ctr"/>
          <a:r>
            <a:rPr lang="fr-FR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MINISTERE DE L'ENSEIGNEMENT PRIMAIRE, SECONDAIRE ET PROFESSIONNEL</a:t>
          </a:r>
          <a:endParaRPr lang="fr-FR" sz="10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9525</xdr:colOff>
      <xdr:row>3</xdr:row>
      <xdr:rowOff>2</xdr:rowOff>
    </xdr:from>
    <xdr:to>
      <xdr:col>22</xdr:col>
      <xdr:colOff>0</xdr:colOff>
      <xdr:row>3</xdr:row>
      <xdr:rowOff>180976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525" y="571502"/>
          <a:ext cx="7391400" cy="180974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latin typeface="Bell MT" panose="02020503060305020303" pitchFamily="18" charset="0"/>
            </a:rPr>
            <a:t>N° ID. </a:t>
          </a:r>
        </a:p>
      </xdr:txBody>
    </xdr:sp>
    <xdr:clientData/>
  </xdr:twoCellAnchor>
  <xdr:twoCellAnchor>
    <xdr:from>
      <xdr:col>2</xdr:col>
      <xdr:colOff>0</xdr:colOff>
      <xdr:row>3</xdr:row>
      <xdr:rowOff>28575</xdr:rowOff>
    </xdr:from>
    <xdr:to>
      <xdr:col>2</xdr:col>
      <xdr:colOff>1</xdr:colOff>
      <xdr:row>4</xdr:row>
      <xdr:rowOff>18075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flipH="1">
          <a:off x="1066800" y="600075"/>
          <a:ext cx="1" cy="1800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219075</xdr:colOff>
      <xdr:row>22</xdr:row>
      <xdr:rowOff>0</xdr:rowOff>
    </xdr:from>
    <xdr:to>
      <xdr:col>24</xdr:col>
      <xdr:colOff>390525</xdr:colOff>
      <xdr:row>32</xdr:row>
      <xdr:rowOff>152401</xdr:rowOff>
    </xdr:to>
    <xdr:sp macro="" textlink="">
      <xdr:nvSpPr>
        <xdr:cNvPr id="89" name="Rectangle à coins arrondis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8239125" y="4295776"/>
          <a:ext cx="990600" cy="220980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23</xdr:col>
      <xdr:colOff>542925</xdr:colOff>
      <xdr:row>27</xdr:row>
      <xdr:rowOff>133350</xdr:rowOff>
    </xdr:from>
    <xdr:to>
      <xdr:col>24</xdr:col>
      <xdr:colOff>209550</xdr:colOff>
      <xdr:row>31</xdr:row>
      <xdr:rowOff>9525</xdr:rowOff>
    </xdr:to>
    <xdr:pic macro="[0]!print_palma"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2975" y="5524500"/>
          <a:ext cx="485775" cy="485775"/>
        </a:xfrm>
        <a:prstGeom prst="rect">
          <a:avLst/>
        </a:prstGeom>
      </xdr:spPr>
    </xdr:pic>
    <xdr:clientData fPrintsWithSheet="0"/>
  </xdr:twoCellAnchor>
  <xdr:twoCellAnchor>
    <xdr:from>
      <xdr:col>23</xdr:col>
      <xdr:colOff>619125</xdr:colOff>
      <xdr:row>22</xdr:row>
      <xdr:rowOff>142875</xdr:rowOff>
    </xdr:from>
    <xdr:to>
      <xdr:col>24</xdr:col>
      <xdr:colOff>304801</xdr:colOff>
      <xdr:row>24</xdr:row>
      <xdr:rowOff>180974</xdr:rowOff>
    </xdr:to>
    <xdr:sp macro="" textlink="">
      <xdr:nvSpPr>
        <xdr:cNvPr id="96" name="Flèche droite 9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8639175" y="4572000"/>
          <a:ext cx="504826" cy="42862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0</xdr:col>
      <xdr:colOff>104775</xdr:colOff>
      <xdr:row>0</xdr:row>
      <xdr:rowOff>38100</xdr:rowOff>
    </xdr:from>
    <xdr:to>
      <xdr:col>1</xdr:col>
      <xdr:colOff>180975</xdr:colOff>
      <xdr:row>2</xdr:row>
      <xdr:rowOff>145337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676275" cy="488237"/>
        </a:xfrm>
        <a:prstGeom prst="rect">
          <a:avLst/>
        </a:prstGeom>
      </xdr:spPr>
    </xdr:pic>
    <xdr:clientData/>
  </xdr:twoCellAnchor>
  <xdr:twoCellAnchor editAs="oneCell">
    <xdr:from>
      <xdr:col>23</xdr:col>
      <xdr:colOff>552450</xdr:colOff>
      <xdr:row>29</xdr:row>
      <xdr:rowOff>28576</xdr:rowOff>
    </xdr:from>
    <xdr:to>
      <xdr:col>24</xdr:col>
      <xdr:colOff>180975</xdr:colOff>
      <xdr:row>32</xdr:row>
      <xdr:rowOff>19051</xdr:rowOff>
    </xdr:to>
    <xdr:pic macro="[0]!printbull">
      <xdr:nvPicPr>
        <xdr:cNvPr id="101" name="Imag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00" y="5810251"/>
          <a:ext cx="447675" cy="4572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174048</xdr:colOff>
      <xdr:row>0</xdr:row>
      <xdr:rowOff>30307</xdr:rowOff>
    </xdr:from>
    <xdr:to>
      <xdr:col>21</xdr:col>
      <xdr:colOff>324226</xdr:colOff>
      <xdr:row>2</xdr:row>
      <xdr:rowOff>154132</xdr:rowOff>
    </xdr:to>
    <xdr:pic>
      <xdr:nvPicPr>
        <xdr:cNvPr id="102" name="Image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7648" y="30307"/>
          <a:ext cx="521653" cy="504825"/>
        </a:xfrm>
        <a:prstGeom prst="rect">
          <a:avLst/>
        </a:prstGeom>
      </xdr:spPr>
    </xdr:pic>
    <xdr:clientData/>
  </xdr:twoCellAnchor>
  <xdr:twoCellAnchor>
    <xdr:from>
      <xdr:col>0</xdr:col>
      <xdr:colOff>9526</xdr:colOff>
      <xdr:row>3</xdr:row>
      <xdr:rowOff>190499</xdr:rowOff>
    </xdr:from>
    <xdr:to>
      <xdr:col>22</xdr:col>
      <xdr:colOff>0</xdr:colOff>
      <xdr:row>4</xdr:row>
      <xdr:rowOff>171450</xdr:rowOff>
    </xdr:to>
    <xdr:sp macro="" textlink="">
      <xdr:nvSpPr>
        <xdr:cNvPr id="68" name="ZoneTexte 67">
          <a:extLst>
            <a:ext uri="{FF2B5EF4-FFF2-40B4-BE49-F238E27FC236}">
              <a16:creationId xmlns:a16="http://schemas.microsoft.com/office/drawing/2014/main" id="{0590B003-2BBF-450E-862B-4DB3D1E38BFB}"/>
            </a:ext>
          </a:extLst>
        </xdr:cNvPr>
        <xdr:cNvSpPr txBox="1"/>
      </xdr:nvSpPr>
      <xdr:spPr>
        <a:xfrm>
          <a:off x="9526" y="761999"/>
          <a:ext cx="7393997" cy="171451"/>
        </a:xfrm>
        <a:prstGeom prst="rect">
          <a:avLst/>
        </a:prstGeom>
        <a:solidFill>
          <a:schemeClr val="lt1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1">
              <a:latin typeface="Times New Roman" panose="02020603050405020304" pitchFamily="18" charset="0"/>
              <a:cs typeface="Times New Roman" panose="02020603050405020304" pitchFamily="18" charset="0"/>
            </a:rPr>
            <a:t>PROVINCE:</a:t>
          </a:r>
        </a:p>
      </xdr:txBody>
    </xdr:sp>
    <xdr:clientData/>
  </xdr:twoCellAnchor>
  <xdr:twoCellAnchor>
    <xdr:from>
      <xdr:col>0</xdr:col>
      <xdr:colOff>9525</xdr:colOff>
      <xdr:row>4</xdr:row>
      <xdr:rowOff>180975</xdr:rowOff>
    </xdr:from>
    <xdr:to>
      <xdr:col>22</xdr:col>
      <xdr:colOff>0</xdr:colOff>
      <xdr:row>8</xdr:row>
      <xdr:rowOff>101310</xdr:rowOff>
    </xdr:to>
    <xdr:sp macro="" textlink="">
      <xdr:nvSpPr>
        <xdr:cNvPr id="83" name="ZoneTexte 82">
          <a:extLst>
            <a:ext uri="{FF2B5EF4-FFF2-40B4-BE49-F238E27FC236}">
              <a16:creationId xmlns:a16="http://schemas.microsoft.com/office/drawing/2014/main" id="{6BB88575-6C4B-40CA-9ECD-682B8C4B9ADD}"/>
            </a:ext>
          </a:extLst>
        </xdr:cNvPr>
        <xdr:cNvSpPr txBox="1"/>
      </xdr:nvSpPr>
      <xdr:spPr>
        <a:xfrm>
          <a:off x="9525" y="942975"/>
          <a:ext cx="7391400" cy="682335"/>
        </a:xfrm>
        <a:prstGeom prst="rect">
          <a:avLst/>
        </a:prstGeom>
        <a:solidFill>
          <a:schemeClr val="lt1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900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8659</xdr:colOff>
      <xdr:row>8</xdr:row>
      <xdr:rowOff>112569</xdr:rowOff>
    </xdr:from>
    <xdr:to>
      <xdr:col>22</xdr:col>
      <xdr:colOff>0</xdr:colOff>
      <xdr:row>10</xdr:row>
      <xdr:rowOff>0</xdr:rowOff>
    </xdr:to>
    <xdr:sp macro="" textlink="">
      <xdr:nvSpPr>
        <xdr:cNvPr id="132" name="ZoneTexte 131">
          <a:extLst>
            <a:ext uri="{FF2B5EF4-FFF2-40B4-BE49-F238E27FC236}">
              <a16:creationId xmlns:a16="http://schemas.microsoft.com/office/drawing/2014/main" id="{BEDFFB1B-FFCF-4584-B2F2-07BA2A9A0361}"/>
            </a:ext>
          </a:extLst>
        </xdr:cNvPr>
        <xdr:cNvSpPr txBox="1"/>
      </xdr:nvSpPr>
      <xdr:spPr>
        <a:xfrm>
          <a:off x="8659" y="1636569"/>
          <a:ext cx="7394864" cy="190499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1">
              <a:latin typeface="Times New Roman" panose="02020603050405020304" pitchFamily="18" charset="0"/>
              <a:cs typeface="Times New Roman" panose="02020603050405020304" pitchFamily="18" charset="0"/>
            </a:rPr>
            <a:t>BULLETIN</a:t>
          </a:r>
          <a:r>
            <a:rPr lang="fr-FR" sz="9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DE LA 7 ème ANNEE B CYCLE TERMINAL DE L'EDUCATION DE BASE (CTEB) ANNEE SCOLAIRE 20...... - 20.....</a:t>
          </a:r>
          <a:endParaRPr lang="fr-FR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38100</xdr:colOff>
      <xdr:row>54</xdr:row>
      <xdr:rowOff>9523</xdr:rowOff>
    </xdr:from>
    <xdr:to>
      <xdr:col>4</xdr:col>
      <xdr:colOff>285748</xdr:colOff>
      <xdr:row>54</xdr:row>
      <xdr:rowOff>152398</xdr:rowOff>
    </xdr:to>
    <xdr:sp macro="[0]!GR1P" textlink="">
      <xdr:nvSpPr>
        <xdr:cNvPr id="139" name="Rectangle 138">
          <a:extLst>
            <a:ext uri="{FF2B5EF4-FFF2-40B4-BE49-F238E27FC236}">
              <a16:creationId xmlns:a16="http://schemas.microsoft.com/office/drawing/2014/main" id="{0B3D0BF0-0612-4653-BAD4-C3114532A2F8}"/>
            </a:ext>
          </a:extLst>
        </xdr:cNvPr>
        <xdr:cNvSpPr/>
      </xdr:nvSpPr>
      <xdr:spPr>
        <a:xfrm>
          <a:off x="1553441" y="9248773"/>
          <a:ext cx="247648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5</xdr:col>
      <xdr:colOff>47625</xdr:colOff>
      <xdr:row>54</xdr:row>
      <xdr:rowOff>9523</xdr:rowOff>
    </xdr:from>
    <xdr:to>
      <xdr:col>5</xdr:col>
      <xdr:colOff>333373</xdr:colOff>
      <xdr:row>54</xdr:row>
      <xdr:rowOff>152398</xdr:rowOff>
    </xdr:to>
    <xdr:sp macro="[0]!GR2P" textlink="">
      <xdr:nvSpPr>
        <xdr:cNvPr id="140" name="Rectangle 139">
          <a:extLst>
            <a:ext uri="{FF2B5EF4-FFF2-40B4-BE49-F238E27FC236}">
              <a16:creationId xmlns:a16="http://schemas.microsoft.com/office/drawing/2014/main" id="{468EA5B6-BDC6-41B7-BA26-DF6B4CED04A6}"/>
            </a:ext>
          </a:extLst>
        </xdr:cNvPr>
        <xdr:cNvSpPr/>
      </xdr:nvSpPr>
      <xdr:spPr>
        <a:xfrm>
          <a:off x="1874693" y="9248773"/>
          <a:ext cx="285748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12</xdr:col>
      <xdr:colOff>76198</xdr:colOff>
      <xdr:row>54</xdr:row>
      <xdr:rowOff>19048</xdr:rowOff>
    </xdr:from>
    <xdr:to>
      <xdr:col>13</xdr:col>
      <xdr:colOff>862</xdr:colOff>
      <xdr:row>54</xdr:row>
      <xdr:rowOff>152398</xdr:rowOff>
    </xdr:to>
    <xdr:sp macro="[0]!Gr4P" textlink="">
      <xdr:nvSpPr>
        <xdr:cNvPr id="141" name="Rectangle 140">
          <a:extLst>
            <a:ext uri="{FF2B5EF4-FFF2-40B4-BE49-F238E27FC236}">
              <a16:creationId xmlns:a16="http://schemas.microsoft.com/office/drawing/2014/main" id="{CB93FE06-D806-4A37-927B-E5A00A10B583}"/>
            </a:ext>
          </a:extLst>
        </xdr:cNvPr>
        <xdr:cNvSpPr/>
      </xdr:nvSpPr>
      <xdr:spPr>
        <a:xfrm>
          <a:off x="4284516" y="9258298"/>
          <a:ext cx="219073" cy="1333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142873</xdr:colOff>
      <xdr:row>54</xdr:row>
      <xdr:rowOff>9523</xdr:rowOff>
    </xdr:from>
    <xdr:to>
      <xdr:col>7</xdr:col>
      <xdr:colOff>333371</xdr:colOff>
      <xdr:row>54</xdr:row>
      <xdr:rowOff>142872</xdr:rowOff>
    </xdr:to>
    <xdr:sp macro="[0]!GrEXM1S" textlink="">
      <xdr:nvSpPr>
        <xdr:cNvPr id="142" name="Rectangle 141">
          <a:extLst>
            <a:ext uri="{FF2B5EF4-FFF2-40B4-BE49-F238E27FC236}">
              <a16:creationId xmlns:a16="http://schemas.microsoft.com/office/drawing/2014/main" id="{8F27BB3B-F396-4BEA-9E1C-C63B41E2F988}"/>
            </a:ext>
          </a:extLst>
        </xdr:cNvPr>
        <xdr:cNvSpPr/>
      </xdr:nvSpPr>
      <xdr:spPr>
        <a:xfrm>
          <a:off x="2619373" y="9248773"/>
          <a:ext cx="19049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14</xdr:col>
      <xdr:colOff>19048</xdr:colOff>
      <xdr:row>54</xdr:row>
      <xdr:rowOff>19048</xdr:rowOff>
    </xdr:from>
    <xdr:to>
      <xdr:col>14</xdr:col>
      <xdr:colOff>304796</xdr:colOff>
      <xdr:row>54</xdr:row>
      <xdr:rowOff>152397</xdr:rowOff>
    </xdr:to>
    <xdr:sp macro="[0]!GrEXM2S" textlink="">
      <xdr:nvSpPr>
        <xdr:cNvPr id="143" name="Rectangle 142">
          <a:extLst>
            <a:ext uri="{FF2B5EF4-FFF2-40B4-BE49-F238E27FC236}">
              <a16:creationId xmlns:a16="http://schemas.microsoft.com/office/drawing/2014/main" id="{E2583D36-D009-4564-A867-6F72C46A5BDA}"/>
            </a:ext>
          </a:extLst>
        </xdr:cNvPr>
        <xdr:cNvSpPr/>
      </xdr:nvSpPr>
      <xdr:spPr>
        <a:xfrm>
          <a:off x="4902775" y="9258298"/>
          <a:ext cx="28574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11</xdr:col>
      <xdr:colOff>38098</xdr:colOff>
      <xdr:row>54</xdr:row>
      <xdr:rowOff>19048</xdr:rowOff>
    </xdr:from>
    <xdr:to>
      <xdr:col>11</xdr:col>
      <xdr:colOff>285746</xdr:colOff>
      <xdr:row>54</xdr:row>
      <xdr:rowOff>152397</xdr:rowOff>
    </xdr:to>
    <xdr:sp macro="[0]!Gr3P" textlink="">
      <xdr:nvSpPr>
        <xdr:cNvPr id="144" name="Rectangle 143">
          <a:extLst>
            <a:ext uri="{FF2B5EF4-FFF2-40B4-BE49-F238E27FC236}">
              <a16:creationId xmlns:a16="http://schemas.microsoft.com/office/drawing/2014/main" id="{1BE88BC8-3F93-46C4-96F3-4BFB42C72CC3}"/>
            </a:ext>
          </a:extLst>
        </xdr:cNvPr>
        <xdr:cNvSpPr/>
      </xdr:nvSpPr>
      <xdr:spPr>
        <a:xfrm>
          <a:off x="3960666" y="9258298"/>
          <a:ext cx="24764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29</xdr:col>
      <xdr:colOff>209548</xdr:colOff>
      <xdr:row>29</xdr:row>
      <xdr:rowOff>0</xdr:rowOff>
    </xdr:from>
    <xdr:to>
      <xdr:col>29</xdr:col>
      <xdr:colOff>457196</xdr:colOff>
      <xdr:row>29</xdr:row>
      <xdr:rowOff>133349</xdr:rowOff>
    </xdr:to>
    <xdr:sp macro="[0]!RESIAtotal2" textlink="">
      <xdr:nvSpPr>
        <xdr:cNvPr id="146" name="Rectangle 145">
          <a:extLst>
            <a:ext uri="{FF2B5EF4-FFF2-40B4-BE49-F238E27FC236}">
              <a16:creationId xmlns:a16="http://schemas.microsoft.com/office/drawing/2014/main" id="{A1D49DAF-A611-4735-AF86-54C255213838}"/>
            </a:ext>
          </a:extLst>
        </xdr:cNvPr>
        <xdr:cNvSpPr/>
      </xdr:nvSpPr>
      <xdr:spPr>
        <a:xfrm>
          <a:off x="12744448" y="5191125"/>
          <a:ext cx="24764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29</xdr:col>
      <xdr:colOff>514348</xdr:colOff>
      <xdr:row>29</xdr:row>
      <xdr:rowOff>0</xdr:rowOff>
    </xdr:from>
    <xdr:to>
      <xdr:col>30</xdr:col>
      <xdr:colOff>9521</xdr:colOff>
      <xdr:row>29</xdr:row>
      <xdr:rowOff>133349</xdr:rowOff>
    </xdr:to>
    <xdr:sp macro="[0]!RESIAtoto" textlink="">
      <xdr:nvSpPr>
        <xdr:cNvPr id="147" name="Rectangle 146">
          <a:extLst>
            <a:ext uri="{FF2B5EF4-FFF2-40B4-BE49-F238E27FC236}">
              <a16:creationId xmlns:a16="http://schemas.microsoft.com/office/drawing/2014/main" id="{79B06409-971E-4B16-AD54-C7EF034200D0}"/>
            </a:ext>
          </a:extLst>
        </xdr:cNvPr>
        <xdr:cNvSpPr/>
      </xdr:nvSpPr>
      <xdr:spPr>
        <a:xfrm>
          <a:off x="13049248" y="5191125"/>
          <a:ext cx="31432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oneCellAnchor>
    <xdr:from>
      <xdr:col>24</xdr:col>
      <xdr:colOff>685800</xdr:colOff>
      <xdr:row>40</xdr:row>
      <xdr:rowOff>123825</xdr:rowOff>
    </xdr:from>
    <xdr:ext cx="184731" cy="264560"/>
    <xdr:sp macro="" textlink="">
      <xdr:nvSpPr>
        <xdr:cNvPr id="154" name="ZoneTexte 153">
          <a:extLst>
            <a:ext uri="{FF2B5EF4-FFF2-40B4-BE49-F238E27FC236}">
              <a16:creationId xmlns:a16="http://schemas.microsoft.com/office/drawing/2014/main" id="{C4724D15-9326-47D7-B569-F79B7F442B2F}"/>
            </a:ext>
          </a:extLst>
        </xdr:cNvPr>
        <xdr:cNvSpPr txBox="1"/>
      </xdr:nvSpPr>
      <xdr:spPr>
        <a:xfrm>
          <a:off x="9124950" y="7077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xdr:twoCellAnchor>
    <xdr:from>
      <xdr:col>0</xdr:col>
      <xdr:colOff>9526</xdr:colOff>
      <xdr:row>55</xdr:row>
      <xdr:rowOff>0</xdr:rowOff>
    </xdr:from>
    <xdr:to>
      <xdr:col>22</xdr:col>
      <xdr:colOff>0</xdr:colOff>
      <xdr:row>63</xdr:row>
      <xdr:rowOff>0</xdr:rowOff>
    </xdr:to>
    <xdr:sp macro="" textlink="">
      <xdr:nvSpPr>
        <xdr:cNvPr id="156" name="ZoneTexte 155">
          <a:extLst>
            <a:ext uri="{FF2B5EF4-FFF2-40B4-BE49-F238E27FC236}">
              <a16:creationId xmlns:a16="http://schemas.microsoft.com/office/drawing/2014/main" id="{3C9234A1-635B-4E11-A1FB-5D60FA8F66F2}"/>
            </a:ext>
          </a:extLst>
        </xdr:cNvPr>
        <xdr:cNvSpPr txBox="1"/>
      </xdr:nvSpPr>
      <xdr:spPr>
        <a:xfrm>
          <a:off x="9526" y="9296400"/>
          <a:ext cx="7391399" cy="1524000"/>
        </a:xfrm>
        <a:prstGeom prst="rect">
          <a:avLst/>
        </a:prstGeom>
        <a:solidFill>
          <a:schemeClr val="lt1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0">
              <a:latin typeface="Times New Roman" panose="02020603050405020304" pitchFamily="18" charset="0"/>
              <a:cs typeface="Times New Roman" panose="02020603050405020304" pitchFamily="18" charset="0"/>
            </a:rPr>
            <a:t>-</a:t>
          </a:r>
          <a:r>
            <a:rPr lang="fr-FR" sz="8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fr-FR" sz="800" b="0">
              <a:latin typeface="Times New Roman" panose="02020603050405020304" pitchFamily="18" charset="0"/>
              <a:cs typeface="Times New Roman" panose="02020603050405020304" pitchFamily="18" charset="0"/>
            </a:rPr>
            <a:t>L'élève</a:t>
          </a:r>
          <a:r>
            <a:rPr lang="fr-FR" sz="8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ne pourra passer dans la classe supérieure s'il n'a subi avec succès un examen de repechage en..............................</a:t>
          </a:r>
        </a:p>
        <a:p>
          <a:r>
            <a:rPr lang="fr-FR" sz="8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...........................................................................................................................................................................................................................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- l'élève passe dans la classe supérieure (1)                                    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- l'élève double la classe (1)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			</a:t>
          </a:r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FAIT A...................................., le....../....../20.........</a:t>
          </a: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                          </a:t>
          </a: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Signature de l'élève	        Sceau de l'école                                                                                Le Chef d'Etablissement</a:t>
          </a:r>
        </a:p>
        <a:p>
          <a:endParaRPr lang="fr-FR" sz="800" b="1" baseline="0">
            <a:solidFill>
              <a:schemeClr val="dk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				            Nom et Signature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(1) Biffer la mention inutile 			                 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Note Importante : le Bulletin est sans valeur s'il est raturé ou </a:t>
          </a:r>
          <a:r>
            <a:rPr lang="fr-FR" sz="800" b="0" i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surchargé.                                                                                                                                             IGE/P.S/010</a:t>
          </a: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</a:t>
          </a:r>
          <a:r>
            <a:rPr lang="fr-FR" sz="800" b="1" i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Interdiction formelle de réproduire ce bulletin sous peine des sanctions prévues par la loi</a:t>
          </a:r>
        </a:p>
      </xdr:txBody>
    </xdr:sp>
    <xdr:clientData/>
  </xdr:twoCellAnchor>
  <xdr:twoCellAnchor>
    <xdr:from>
      <xdr:col>4</xdr:col>
      <xdr:colOff>38100</xdr:colOff>
      <xdr:row>52</xdr:row>
      <xdr:rowOff>123828</xdr:rowOff>
    </xdr:from>
    <xdr:to>
      <xdr:col>4</xdr:col>
      <xdr:colOff>285748</xdr:colOff>
      <xdr:row>53</xdr:row>
      <xdr:rowOff>104779</xdr:rowOff>
    </xdr:to>
    <xdr:sp macro="[0]!AFR1P" textlink="">
      <xdr:nvSpPr>
        <xdr:cNvPr id="159" name="Rectangle 158">
          <a:extLst>
            <a:ext uri="{FF2B5EF4-FFF2-40B4-BE49-F238E27FC236}">
              <a16:creationId xmlns:a16="http://schemas.microsoft.com/office/drawing/2014/main" id="{6CAB641A-8870-4200-8F20-4418F64CC83E}"/>
            </a:ext>
          </a:extLst>
        </xdr:cNvPr>
        <xdr:cNvSpPr/>
      </xdr:nvSpPr>
      <xdr:spPr>
        <a:xfrm>
          <a:off x="1553441" y="9034033"/>
          <a:ext cx="247648" cy="145473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5</xdr:col>
      <xdr:colOff>47625</xdr:colOff>
      <xdr:row>52</xdr:row>
      <xdr:rowOff>123828</xdr:rowOff>
    </xdr:from>
    <xdr:to>
      <xdr:col>5</xdr:col>
      <xdr:colOff>333373</xdr:colOff>
      <xdr:row>53</xdr:row>
      <xdr:rowOff>104779</xdr:rowOff>
    </xdr:to>
    <xdr:sp macro="[0]!AFR2P" textlink="">
      <xdr:nvSpPr>
        <xdr:cNvPr id="160" name="Rectangle 159">
          <a:extLst>
            <a:ext uri="{FF2B5EF4-FFF2-40B4-BE49-F238E27FC236}">
              <a16:creationId xmlns:a16="http://schemas.microsoft.com/office/drawing/2014/main" id="{D937A61E-FC09-4820-A896-D5B4B8C5DDB5}"/>
            </a:ext>
          </a:extLst>
        </xdr:cNvPr>
        <xdr:cNvSpPr/>
      </xdr:nvSpPr>
      <xdr:spPr>
        <a:xfrm>
          <a:off x="1874693" y="9034033"/>
          <a:ext cx="285748" cy="145473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12</xdr:col>
      <xdr:colOff>76198</xdr:colOff>
      <xdr:row>52</xdr:row>
      <xdr:rowOff>133353</xdr:rowOff>
    </xdr:from>
    <xdr:to>
      <xdr:col>13</xdr:col>
      <xdr:colOff>862</xdr:colOff>
      <xdr:row>53</xdr:row>
      <xdr:rowOff>104779</xdr:rowOff>
    </xdr:to>
    <xdr:sp macro="[0]!AFR4P" textlink="">
      <xdr:nvSpPr>
        <xdr:cNvPr id="161" name="Rectangle 160">
          <a:extLst>
            <a:ext uri="{FF2B5EF4-FFF2-40B4-BE49-F238E27FC236}">
              <a16:creationId xmlns:a16="http://schemas.microsoft.com/office/drawing/2014/main" id="{681642BD-84EA-485B-9069-8FB33E1785DB}"/>
            </a:ext>
          </a:extLst>
        </xdr:cNvPr>
        <xdr:cNvSpPr/>
      </xdr:nvSpPr>
      <xdr:spPr>
        <a:xfrm>
          <a:off x="4284516" y="9043558"/>
          <a:ext cx="219073" cy="135948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142873</xdr:colOff>
      <xdr:row>52</xdr:row>
      <xdr:rowOff>123828</xdr:rowOff>
    </xdr:from>
    <xdr:to>
      <xdr:col>7</xdr:col>
      <xdr:colOff>333371</xdr:colOff>
      <xdr:row>53</xdr:row>
      <xdr:rowOff>92655</xdr:rowOff>
    </xdr:to>
    <xdr:sp macro="[0]!AFREXM1S" textlink="">
      <xdr:nvSpPr>
        <xdr:cNvPr id="162" name="Rectangle 161">
          <a:extLst>
            <a:ext uri="{FF2B5EF4-FFF2-40B4-BE49-F238E27FC236}">
              <a16:creationId xmlns:a16="http://schemas.microsoft.com/office/drawing/2014/main" id="{1F2BD874-885A-4EBF-88C4-6BF7B1AF173B}"/>
            </a:ext>
          </a:extLst>
        </xdr:cNvPr>
        <xdr:cNvSpPr/>
      </xdr:nvSpPr>
      <xdr:spPr>
        <a:xfrm>
          <a:off x="2619373" y="9034033"/>
          <a:ext cx="190498" cy="133349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14</xdr:col>
      <xdr:colOff>19048</xdr:colOff>
      <xdr:row>52</xdr:row>
      <xdr:rowOff>133353</xdr:rowOff>
    </xdr:from>
    <xdr:to>
      <xdr:col>14</xdr:col>
      <xdr:colOff>304796</xdr:colOff>
      <xdr:row>53</xdr:row>
      <xdr:rowOff>104778</xdr:rowOff>
    </xdr:to>
    <xdr:sp macro="[0]!AFREXM2S" textlink="">
      <xdr:nvSpPr>
        <xdr:cNvPr id="163" name="Rectangle 162">
          <a:extLst>
            <a:ext uri="{FF2B5EF4-FFF2-40B4-BE49-F238E27FC236}">
              <a16:creationId xmlns:a16="http://schemas.microsoft.com/office/drawing/2014/main" id="{B8C6785B-07D1-4D57-8135-56FD0D00B225}"/>
            </a:ext>
          </a:extLst>
        </xdr:cNvPr>
        <xdr:cNvSpPr/>
      </xdr:nvSpPr>
      <xdr:spPr>
        <a:xfrm>
          <a:off x="4902775" y="9043558"/>
          <a:ext cx="28574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11</xdr:col>
      <xdr:colOff>38098</xdr:colOff>
      <xdr:row>52</xdr:row>
      <xdr:rowOff>133353</xdr:rowOff>
    </xdr:from>
    <xdr:to>
      <xdr:col>11</xdr:col>
      <xdr:colOff>285746</xdr:colOff>
      <xdr:row>53</xdr:row>
      <xdr:rowOff>104778</xdr:rowOff>
    </xdr:to>
    <xdr:sp macro="[0]!AFR3P" textlink="">
      <xdr:nvSpPr>
        <xdr:cNvPr id="164" name="Rectangle 163">
          <a:extLst>
            <a:ext uri="{FF2B5EF4-FFF2-40B4-BE49-F238E27FC236}">
              <a16:creationId xmlns:a16="http://schemas.microsoft.com/office/drawing/2014/main" id="{F60B8BAF-F1D5-46D6-84D8-9539B84C7237}"/>
            </a:ext>
          </a:extLst>
        </xdr:cNvPr>
        <xdr:cNvSpPr/>
      </xdr:nvSpPr>
      <xdr:spPr>
        <a:xfrm>
          <a:off x="3960666" y="9043558"/>
          <a:ext cx="24764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9</xdr:col>
      <xdr:colOff>19048</xdr:colOff>
      <xdr:row>52</xdr:row>
      <xdr:rowOff>133353</xdr:rowOff>
    </xdr:from>
    <xdr:to>
      <xdr:col>10</xdr:col>
      <xdr:colOff>47621</xdr:colOff>
      <xdr:row>53</xdr:row>
      <xdr:rowOff>104778</xdr:rowOff>
    </xdr:to>
    <xdr:sp macro="AFRTOTO1S" textlink="">
      <xdr:nvSpPr>
        <xdr:cNvPr id="165" name="Rectangle 164">
          <a:extLst>
            <a:ext uri="{FF2B5EF4-FFF2-40B4-BE49-F238E27FC236}">
              <a16:creationId xmlns:a16="http://schemas.microsoft.com/office/drawing/2014/main" id="{2CF3E61F-B456-4C6F-BEB6-FC3A049A3B54}"/>
            </a:ext>
          </a:extLst>
        </xdr:cNvPr>
        <xdr:cNvSpPr/>
      </xdr:nvSpPr>
      <xdr:spPr>
        <a:xfrm>
          <a:off x="3300843" y="9043558"/>
          <a:ext cx="314323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15</xdr:col>
      <xdr:colOff>238123</xdr:colOff>
      <xdr:row>52</xdr:row>
      <xdr:rowOff>133353</xdr:rowOff>
    </xdr:from>
    <xdr:to>
      <xdr:col>17</xdr:col>
      <xdr:colOff>47621</xdr:colOff>
      <xdr:row>53</xdr:row>
      <xdr:rowOff>104778</xdr:rowOff>
    </xdr:to>
    <xdr:sp macro="[0]!AFRTOTO2S" textlink="">
      <xdr:nvSpPr>
        <xdr:cNvPr id="166" name="Rectangle 165">
          <a:extLst>
            <a:ext uri="{FF2B5EF4-FFF2-40B4-BE49-F238E27FC236}">
              <a16:creationId xmlns:a16="http://schemas.microsoft.com/office/drawing/2014/main" id="{523B2B2F-E859-4933-BC67-D329A1F877FB}"/>
            </a:ext>
          </a:extLst>
        </xdr:cNvPr>
        <xdr:cNvSpPr/>
      </xdr:nvSpPr>
      <xdr:spPr>
        <a:xfrm>
          <a:off x="5433578" y="9043558"/>
          <a:ext cx="38099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18</xdr:col>
      <xdr:colOff>9523</xdr:colOff>
      <xdr:row>52</xdr:row>
      <xdr:rowOff>142878</xdr:rowOff>
    </xdr:from>
    <xdr:to>
      <xdr:col>18</xdr:col>
      <xdr:colOff>295271</xdr:colOff>
      <xdr:row>53</xdr:row>
      <xdr:rowOff>114303</xdr:rowOff>
    </xdr:to>
    <xdr:sp macro="[0]!AFRTOTOGEN" textlink="">
      <xdr:nvSpPr>
        <xdr:cNvPr id="167" name="Rectangle 166">
          <a:extLst>
            <a:ext uri="{FF2B5EF4-FFF2-40B4-BE49-F238E27FC236}">
              <a16:creationId xmlns:a16="http://schemas.microsoft.com/office/drawing/2014/main" id="{08FFCBC2-DAE0-448F-A33B-8DEF815FA5F8}"/>
            </a:ext>
          </a:extLst>
        </xdr:cNvPr>
        <xdr:cNvSpPr/>
      </xdr:nvSpPr>
      <xdr:spPr>
        <a:xfrm>
          <a:off x="6140159" y="9053083"/>
          <a:ext cx="28574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20</xdr:col>
      <xdr:colOff>28575</xdr:colOff>
      <xdr:row>49</xdr:row>
      <xdr:rowOff>66675</xdr:rowOff>
    </xdr:from>
    <xdr:to>
      <xdr:col>20</xdr:col>
      <xdr:colOff>95250</xdr:colOff>
      <xdr:row>49</xdr:row>
      <xdr:rowOff>66675</xdr:rowOff>
    </xdr:to>
    <xdr:cxnSp macro="">
      <xdr:nvCxnSpPr>
        <xdr:cNvPr id="169" name="Connecteur droit 168">
          <a:extLst>
            <a:ext uri="{FF2B5EF4-FFF2-40B4-BE49-F238E27FC236}">
              <a16:creationId xmlns:a16="http://schemas.microsoft.com/office/drawing/2014/main" id="{B483E90D-C38F-45C6-97D3-EC44686AAFB7}"/>
            </a:ext>
          </a:extLst>
        </xdr:cNvPr>
        <xdr:cNvCxnSpPr/>
      </xdr:nvCxnSpPr>
      <xdr:spPr>
        <a:xfrm>
          <a:off x="6629400" y="8391525"/>
          <a:ext cx="6667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28575</xdr:colOff>
      <xdr:row>50</xdr:row>
      <xdr:rowOff>0</xdr:rowOff>
    </xdr:from>
    <xdr:to>
      <xdr:col>20</xdr:col>
      <xdr:colOff>95250</xdr:colOff>
      <xdr:row>50</xdr:row>
      <xdr:rowOff>0</xdr:rowOff>
    </xdr:to>
    <xdr:cxnSp macro="">
      <xdr:nvCxnSpPr>
        <xdr:cNvPr id="170" name="Connecteur droit 169">
          <a:extLst>
            <a:ext uri="{FF2B5EF4-FFF2-40B4-BE49-F238E27FC236}">
              <a16:creationId xmlns:a16="http://schemas.microsoft.com/office/drawing/2014/main" id="{4361E013-C6A0-452A-8D0F-A93F1EE55239}"/>
            </a:ext>
          </a:extLst>
        </xdr:cNvPr>
        <xdr:cNvCxnSpPr/>
      </xdr:nvCxnSpPr>
      <xdr:spPr>
        <a:xfrm>
          <a:off x="6629400" y="8486775"/>
          <a:ext cx="6667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25978</xdr:colOff>
      <xdr:row>2</xdr:row>
      <xdr:rowOff>178377</xdr:rowOff>
    </xdr:from>
    <xdr:to>
      <xdr:col>21</xdr:col>
      <xdr:colOff>320386</xdr:colOff>
      <xdr:row>4</xdr:row>
      <xdr:rowOff>12121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62F0F802-D113-4020-B319-F4A5908C7AB4}"/>
            </a:ext>
          </a:extLst>
        </xdr:cNvPr>
        <xdr:cNvGrpSpPr/>
      </xdr:nvGrpSpPr>
      <xdr:grpSpPr>
        <a:xfrm>
          <a:off x="626053" y="559377"/>
          <a:ext cx="6438033" cy="214744"/>
          <a:chOff x="623455" y="559377"/>
          <a:chExt cx="6468340" cy="214744"/>
        </a:xfrm>
      </xdr:grpSpPr>
      <xdr:cxnSp macro="">
        <xdr:nvCxnSpPr>
          <xdr:cNvPr id="3" name="Connecteur droit 2">
            <a:extLst>
              <a:ext uri="{FF2B5EF4-FFF2-40B4-BE49-F238E27FC236}">
                <a16:creationId xmlns:a16="http://schemas.microsoft.com/office/drawing/2014/main" id="{EBABD5FD-AD7C-487E-A907-71E98E8F9431}"/>
              </a:ext>
            </a:extLst>
          </xdr:cNvPr>
          <xdr:cNvCxnSpPr/>
        </xdr:nvCxnSpPr>
        <xdr:spPr>
          <a:xfrm>
            <a:off x="623455" y="562841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Connecteur droit 62">
            <a:extLst>
              <a:ext uri="{FF2B5EF4-FFF2-40B4-BE49-F238E27FC236}">
                <a16:creationId xmlns:a16="http://schemas.microsoft.com/office/drawing/2014/main" id="{2CA41D27-B03D-4797-802C-4164615B59B3}"/>
              </a:ext>
            </a:extLst>
          </xdr:cNvPr>
          <xdr:cNvCxnSpPr/>
        </xdr:nvCxnSpPr>
        <xdr:spPr>
          <a:xfrm>
            <a:off x="827810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Connecteur droit 63">
            <a:extLst>
              <a:ext uri="{FF2B5EF4-FFF2-40B4-BE49-F238E27FC236}">
                <a16:creationId xmlns:a16="http://schemas.microsoft.com/office/drawing/2014/main" id="{77735D30-3B40-4A11-A703-274DD1C58F26}"/>
              </a:ext>
            </a:extLst>
          </xdr:cNvPr>
          <xdr:cNvCxnSpPr/>
        </xdr:nvCxnSpPr>
        <xdr:spPr>
          <a:xfrm>
            <a:off x="1035627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Connecteur droit 64">
            <a:extLst>
              <a:ext uri="{FF2B5EF4-FFF2-40B4-BE49-F238E27FC236}">
                <a16:creationId xmlns:a16="http://schemas.microsoft.com/office/drawing/2014/main" id="{D9E6F260-050B-40E8-AAF9-877A0BE95F12}"/>
              </a:ext>
            </a:extLst>
          </xdr:cNvPr>
          <xdr:cNvCxnSpPr/>
        </xdr:nvCxnSpPr>
        <xdr:spPr>
          <a:xfrm>
            <a:off x="1239982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Connecteur droit 65">
            <a:extLst>
              <a:ext uri="{FF2B5EF4-FFF2-40B4-BE49-F238E27FC236}">
                <a16:creationId xmlns:a16="http://schemas.microsoft.com/office/drawing/2014/main" id="{D82A26BB-B3E4-4E5A-91EA-D9BFE1A700AC}"/>
              </a:ext>
            </a:extLst>
          </xdr:cNvPr>
          <xdr:cNvCxnSpPr/>
        </xdr:nvCxnSpPr>
        <xdr:spPr>
          <a:xfrm>
            <a:off x="1451264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" name="Connecteur droit 66">
            <a:extLst>
              <a:ext uri="{FF2B5EF4-FFF2-40B4-BE49-F238E27FC236}">
                <a16:creationId xmlns:a16="http://schemas.microsoft.com/office/drawing/2014/main" id="{7276D514-B1DB-4212-9DF4-5880EAAB67BD}"/>
              </a:ext>
            </a:extLst>
          </xdr:cNvPr>
          <xdr:cNvCxnSpPr/>
        </xdr:nvCxnSpPr>
        <xdr:spPr>
          <a:xfrm>
            <a:off x="1655619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Connecteur droit 68">
            <a:extLst>
              <a:ext uri="{FF2B5EF4-FFF2-40B4-BE49-F238E27FC236}">
                <a16:creationId xmlns:a16="http://schemas.microsoft.com/office/drawing/2014/main" id="{EA7BF55E-945D-4DBC-AF0D-50E841817E8D}"/>
              </a:ext>
            </a:extLst>
          </xdr:cNvPr>
          <xdr:cNvCxnSpPr/>
        </xdr:nvCxnSpPr>
        <xdr:spPr>
          <a:xfrm>
            <a:off x="1863436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Connecteur droit 69">
            <a:extLst>
              <a:ext uri="{FF2B5EF4-FFF2-40B4-BE49-F238E27FC236}">
                <a16:creationId xmlns:a16="http://schemas.microsoft.com/office/drawing/2014/main" id="{8206C3D7-5112-407C-97DF-30B9341EB610}"/>
              </a:ext>
            </a:extLst>
          </xdr:cNvPr>
          <xdr:cNvCxnSpPr/>
        </xdr:nvCxnSpPr>
        <xdr:spPr>
          <a:xfrm>
            <a:off x="2067791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Connecteur droit 70">
            <a:extLst>
              <a:ext uri="{FF2B5EF4-FFF2-40B4-BE49-F238E27FC236}">
                <a16:creationId xmlns:a16="http://schemas.microsoft.com/office/drawing/2014/main" id="{5DBEC152-BE87-4FCF-9255-5928EA8D6E1F}"/>
              </a:ext>
            </a:extLst>
          </xdr:cNvPr>
          <xdr:cNvCxnSpPr/>
        </xdr:nvCxnSpPr>
        <xdr:spPr>
          <a:xfrm>
            <a:off x="2299855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Connecteur droit 71">
            <a:extLst>
              <a:ext uri="{FF2B5EF4-FFF2-40B4-BE49-F238E27FC236}">
                <a16:creationId xmlns:a16="http://schemas.microsoft.com/office/drawing/2014/main" id="{CDF8AA92-A36C-4CFF-9F2A-960E636C4B42}"/>
              </a:ext>
            </a:extLst>
          </xdr:cNvPr>
          <xdr:cNvCxnSpPr/>
        </xdr:nvCxnSpPr>
        <xdr:spPr>
          <a:xfrm>
            <a:off x="2504210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Connecteur droit 72">
            <a:extLst>
              <a:ext uri="{FF2B5EF4-FFF2-40B4-BE49-F238E27FC236}">
                <a16:creationId xmlns:a16="http://schemas.microsoft.com/office/drawing/2014/main" id="{18EEC2C1-45F3-44A1-BD90-C1CC8E477277}"/>
              </a:ext>
            </a:extLst>
          </xdr:cNvPr>
          <xdr:cNvCxnSpPr/>
        </xdr:nvCxnSpPr>
        <xdr:spPr>
          <a:xfrm>
            <a:off x="2712027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Connecteur droit 73">
            <a:extLst>
              <a:ext uri="{FF2B5EF4-FFF2-40B4-BE49-F238E27FC236}">
                <a16:creationId xmlns:a16="http://schemas.microsoft.com/office/drawing/2014/main" id="{C9249022-90C4-482B-A99F-C73839907A58}"/>
              </a:ext>
            </a:extLst>
          </xdr:cNvPr>
          <xdr:cNvCxnSpPr/>
        </xdr:nvCxnSpPr>
        <xdr:spPr>
          <a:xfrm>
            <a:off x="2916382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Connecteur droit 74">
            <a:extLst>
              <a:ext uri="{FF2B5EF4-FFF2-40B4-BE49-F238E27FC236}">
                <a16:creationId xmlns:a16="http://schemas.microsoft.com/office/drawing/2014/main" id="{10CCF150-BB42-4EDE-BBC8-F201560333E4}"/>
              </a:ext>
            </a:extLst>
          </xdr:cNvPr>
          <xdr:cNvCxnSpPr/>
        </xdr:nvCxnSpPr>
        <xdr:spPr>
          <a:xfrm>
            <a:off x="3127664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" name="Connecteur droit 75">
            <a:extLst>
              <a:ext uri="{FF2B5EF4-FFF2-40B4-BE49-F238E27FC236}">
                <a16:creationId xmlns:a16="http://schemas.microsoft.com/office/drawing/2014/main" id="{81AF7B02-374F-4786-BE21-4E378A1F6433}"/>
              </a:ext>
            </a:extLst>
          </xdr:cNvPr>
          <xdr:cNvCxnSpPr/>
        </xdr:nvCxnSpPr>
        <xdr:spPr>
          <a:xfrm>
            <a:off x="3332019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" name="Connecteur droit 76">
            <a:extLst>
              <a:ext uri="{FF2B5EF4-FFF2-40B4-BE49-F238E27FC236}">
                <a16:creationId xmlns:a16="http://schemas.microsoft.com/office/drawing/2014/main" id="{BF0B756A-5DEB-409C-A73A-17B009827D79}"/>
              </a:ext>
            </a:extLst>
          </xdr:cNvPr>
          <xdr:cNvCxnSpPr/>
        </xdr:nvCxnSpPr>
        <xdr:spPr>
          <a:xfrm>
            <a:off x="3539836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Connecteur droit 77">
            <a:extLst>
              <a:ext uri="{FF2B5EF4-FFF2-40B4-BE49-F238E27FC236}">
                <a16:creationId xmlns:a16="http://schemas.microsoft.com/office/drawing/2014/main" id="{3A203484-58FF-4E9A-BFF3-10DBE7468910}"/>
              </a:ext>
            </a:extLst>
          </xdr:cNvPr>
          <xdr:cNvCxnSpPr/>
        </xdr:nvCxnSpPr>
        <xdr:spPr>
          <a:xfrm>
            <a:off x="3744191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Connecteur droit 78">
            <a:extLst>
              <a:ext uri="{FF2B5EF4-FFF2-40B4-BE49-F238E27FC236}">
                <a16:creationId xmlns:a16="http://schemas.microsoft.com/office/drawing/2014/main" id="{B1CC21E3-DEBE-4ACD-9ED1-E787A3F022AE}"/>
              </a:ext>
            </a:extLst>
          </xdr:cNvPr>
          <xdr:cNvCxnSpPr/>
        </xdr:nvCxnSpPr>
        <xdr:spPr>
          <a:xfrm>
            <a:off x="3971059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Connecteur droit 79">
            <a:extLst>
              <a:ext uri="{FF2B5EF4-FFF2-40B4-BE49-F238E27FC236}">
                <a16:creationId xmlns:a16="http://schemas.microsoft.com/office/drawing/2014/main" id="{79CBB0FF-9D0A-4310-B901-7AE3052B6D98}"/>
              </a:ext>
            </a:extLst>
          </xdr:cNvPr>
          <xdr:cNvCxnSpPr/>
        </xdr:nvCxnSpPr>
        <xdr:spPr>
          <a:xfrm>
            <a:off x="4175414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Connecteur droit 80">
            <a:extLst>
              <a:ext uri="{FF2B5EF4-FFF2-40B4-BE49-F238E27FC236}">
                <a16:creationId xmlns:a16="http://schemas.microsoft.com/office/drawing/2014/main" id="{310654C9-021D-4F3D-94B7-8F59629B28BE}"/>
              </a:ext>
            </a:extLst>
          </xdr:cNvPr>
          <xdr:cNvCxnSpPr/>
        </xdr:nvCxnSpPr>
        <xdr:spPr>
          <a:xfrm>
            <a:off x="4383231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Connecteur droit 81">
            <a:extLst>
              <a:ext uri="{FF2B5EF4-FFF2-40B4-BE49-F238E27FC236}">
                <a16:creationId xmlns:a16="http://schemas.microsoft.com/office/drawing/2014/main" id="{EB36028E-581A-4330-97C6-BA4405349838}"/>
              </a:ext>
            </a:extLst>
          </xdr:cNvPr>
          <xdr:cNvCxnSpPr/>
        </xdr:nvCxnSpPr>
        <xdr:spPr>
          <a:xfrm>
            <a:off x="4587586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Connecteur droit 83">
            <a:extLst>
              <a:ext uri="{FF2B5EF4-FFF2-40B4-BE49-F238E27FC236}">
                <a16:creationId xmlns:a16="http://schemas.microsoft.com/office/drawing/2014/main" id="{ABC256F7-BB31-46F8-8B2E-1663F796DDDB}"/>
              </a:ext>
            </a:extLst>
          </xdr:cNvPr>
          <xdr:cNvCxnSpPr/>
        </xdr:nvCxnSpPr>
        <xdr:spPr>
          <a:xfrm>
            <a:off x="4798868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" name="Connecteur droit 84">
            <a:extLst>
              <a:ext uri="{FF2B5EF4-FFF2-40B4-BE49-F238E27FC236}">
                <a16:creationId xmlns:a16="http://schemas.microsoft.com/office/drawing/2014/main" id="{FB2AF657-75CE-4F89-95B4-EF8100044975}"/>
              </a:ext>
            </a:extLst>
          </xdr:cNvPr>
          <xdr:cNvCxnSpPr/>
        </xdr:nvCxnSpPr>
        <xdr:spPr>
          <a:xfrm>
            <a:off x="5003223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" name="Connecteur droit 85">
            <a:extLst>
              <a:ext uri="{FF2B5EF4-FFF2-40B4-BE49-F238E27FC236}">
                <a16:creationId xmlns:a16="http://schemas.microsoft.com/office/drawing/2014/main" id="{432400C5-4CF6-4B48-BEDE-040E2AE4A94E}"/>
              </a:ext>
            </a:extLst>
          </xdr:cNvPr>
          <xdr:cNvCxnSpPr/>
        </xdr:nvCxnSpPr>
        <xdr:spPr>
          <a:xfrm>
            <a:off x="5211040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Connecteur droit 86">
            <a:extLst>
              <a:ext uri="{FF2B5EF4-FFF2-40B4-BE49-F238E27FC236}">
                <a16:creationId xmlns:a16="http://schemas.microsoft.com/office/drawing/2014/main" id="{AA2CC990-6EF2-446C-89F6-4AF145D282A7}"/>
              </a:ext>
            </a:extLst>
          </xdr:cNvPr>
          <xdr:cNvCxnSpPr/>
        </xdr:nvCxnSpPr>
        <xdr:spPr>
          <a:xfrm>
            <a:off x="5415395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Connecteur droit 87">
            <a:extLst>
              <a:ext uri="{FF2B5EF4-FFF2-40B4-BE49-F238E27FC236}">
                <a16:creationId xmlns:a16="http://schemas.microsoft.com/office/drawing/2014/main" id="{D77D30E5-E6EC-40D3-8F8A-4E7FCEFB73DA}"/>
              </a:ext>
            </a:extLst>
          </xdr:cNvPr>
          <xdr:cNvCxnSpPr/>
        </xdr:nvCxnSpPr>
        <xdr:spPr>
          <a:xfrm>
            <a:off x="5647459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Connecteur droit 89">
            <a:extLst>
              <a:ext uri="{FF2B5EF4-FFF2-40B4-BE49-F238E27FC236}">
                <a16:creationId xmlns:a16="http://schemas.microsoft.com/office/drawing/2014/main" id="{32D6E99D-5EE9-4790-8D2B-60FEEC679667}"/>
              </a:ext>
            </a:extLst>
          </xdr:cNvPr>
          <xdr:cNvCxnSpPr/>
        </xdr:nvCxnSpPr>
        <xdr:spPr>
          <a:xfrm>
            <a:off x="5851814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Connecteur droit 90">
            <a:extLst>
              <a:ext uri="{FF2B5EF4-FFF2-40B4-BE49-F238E27FC236}">
                <a16:creationId xmlns:a16="http://schemas.microsoft.com/office/drawing/2014/main" id="{496A8863-98CB-409A-8A64-374EFC0351DF}"/>
              </a:ext>
            </a:extLst>
          </xdr:cNvPr>
          <xdr:cNvCxnSpPr/>
        </xdr:nvCxnSpPr>
        <xdr:spPr>
          <a:xfrm>
            <a:off x="6059631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Connecteur droit 91">
            <a:extLst>
              <a:ext uri="{FF2B5EF4-FFF2-40B4-BE49-F238E27FC236}">
                <a16:creationId xmlns:a16="http://schemas.microsoft.com/office/drawing/2014/main" id="{2EBB3B3E-4FD4-49ED-88D7-F714DCF77E28}"/>
              </a:ext>
            </a:extLst>
          </xdr:cNvPr>
          <xdr:cNvCxnSpPr/>
        </xdr:nvCxnSpPr>
        <xdr:spPr>
          <a:xfrm>
            <a:off x="6263986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Connecteur droit 92">
            <a:extLst>
              <a:ext uri="{FF2B5EF4-FFF2-40B4-BE49-F238E27FC236}">
                <a16:creationId xmlns:a16="http://schemas.microsoft.com/office/drawing/2014/main" id="{906BD76E-D43B-4DED-A199-05955F092382}"/>
              </a:ext>
            </a:extLst>
          </xdr:cNvPr>
          <xdr:cNvCxnSpPr/>
        </xdr:nvCxnSpPr>
        <xdr:spPr>
          <a:xfrm>
            <a:off x="6475268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Connecteur droit 94">
            <a:extLst>
              <a:ext uri="{FF2B5EF4-FFF2-40B4-BE49-F238E27FC236}">
                <a16:creationId xmlns:a16="http://schemas.microsoft.com/office/drawing/2014/main" id="{684E3581-71DE-4305-837F-69D9F0C775DC}"/>
              </a:ext>
            </a:extLst>
          </xdr:cNvPr>
          <xdr:cNvCxnSpPr/>
        </xdr:nvCxnSpPr>
        <xdr:spPr>
          <a:xfrm>
            <a:off x="6679623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Connecteur droit 96">
            <a:extLst>
              <a:ext uri="{FF2B5EF4-FFF2-40B4-BE49-F238E27FC236}">
                <a16:creationId xmlns:a16="http://schemas.microsoft.com/office/drawing/2014/main" id="{BB17CCE8-E2EC-4F48-B513-56C050535734}"/>
              </a:ext>
            </a:extLst>
          </xdr:cNvPr>
          <xdr:cNvCxnSpPr/>
        </xdr:nvCxnSpPr>
        <xdr:spPr>
          <a:xfrm>
            <a:off x="6887440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Connecteur droit 97">
            <a:extLst>
              <a:ext uri="{FF2B5EF4-FFF2-40B4-BE49-F238E27FC236}">
                <a16:creationId xmlns:a16="http://schemas.microsoft.com/office/drawing/2014/main" id="{673FFF64-63B0-4EBB-AAF3-E94A31504D81}"/>
              </a:ext>
            </a:extLst>
          </xdr:cNvPr>
          <xdr:cNvCxnSpPr/>
        </xdr:nvCxnSpPr>
        <xdr:spPr>
          <a:xfrm>
            <a:off x="7091795" y="562839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9525</xdr:colOff>
      <xdr:row>5</xdr:row>
      <xdr:rowOff>0</xdr:rowOff>
    </xdr:from>
    <xdr:to>
      <xdr:col>10</xdr:col>
      <xdr:colOff>9525</xdr:colOff>
      <xdr:row>8</xdr:row>
      <xdr:rowOff>104775</xdr:rowOff>
    </xdr:to>
    <xdr:cxnSp macro="">
      <xdr:nvCxnSpPr>
        <xdr:cNvPr id="135" name="Connecteur droit 134">
          <a:extLst>
            <a:ext uri="{FF2B5EF4-FFF2-40B4-BE49-F238E27FC236}">
              <a16:creationId xmlns:a16="http://schemas.microsoft.com/office/drawing/2014/main" id="{54054906-25C4-4C0B-A1D3-731B5A60DDE9}"/>
            </a:ext>
          </a:extLst>
        </xdr:cNvPr>
        <xdr:cNvCxnSpPr/>
      </xdr:nvCxnSpPr>
      <xdr:spPr>
        <a:xfrm flipV="1">
          <a:off x="3571875" y="952500"/>
          <a:ext cx="0" cy="67627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19050</xdr:colOff>
      <xdr:row>4</xdr:row>
      <xdr:rowOff>180975</xdr:rowOff>
    </xdr:from>
    <xdr:to>
      <xdr:col>22</xdr:col>
      <xdr:colOff>0</xdr:colOff>
      <xdr:row>8</xdr:row>
      <xdr:rowOff>114300</xdr:rowOff>
    </xdr:to>
    <xdr:grpSp>
      <xdr:nvGrpSpPr>
        <xdr:cNvPr id="99" name="Groupe 98"/>
        <xdr:cNvGrpSpPr/>
      </xdr:nvGrpSpPr>
      <xdr:grpSpPr>
        <a:xfrm>
          <a:off x="19050" y="942975"/>
          <a:ext cx="7353300" cy="695325"/>
          <a:chOff x="19050" y="847724"/>
          <a:chExt cx="7353300" cy="695325"/>
        </a:xfrm>
      </xdr:grpSpPr>
      <xdr:grpSp>
        <xdr:nvGrpSpPr>
          <xdr:cNvPr id="100" name="Groupe 99"/>
          <xdr:cNvGrpSpPr/>
        </xdr:nvGrpSpPr>
        <xdr:grpSpPr>
          <a:xfrm>
            <a:off x="19050" y="847724"/>
            <a:ext cx="3524250" cy="695325"/>
            <a:chOff x="19050" y="847724"/>
            <a:chExt cx="3524250" cy="695325"/>
          </a:xfrm>
        </xdr:grpSpPr>
        <xdr:sp macro="" textlink="">
          <xdr:nvSpPr>
            <xdr:cNvPr id="122" name="ZoneTexte 121"/>
            <xdr:cNvSpPr txBox="1"/>
          </xdr:nvSpPr>
          <xdr:spPr>
            <a:xfrm>
              <a:off x="19050" y="847724"/>
              <a:ext cx="3524250" cy="69532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800" b="0">
                  <a:latin typeface="Times New Roman" panose="02020603050405020304" pitchFamily="18" charset="0"/>
                  <a:cs typeface="Times New Roman" panose="02020603050405020304" pitchFamily="18" charset="0"/>
                </a:rPr>
                <a:t>VILLE</a:t>
              </a:r>
              <a:r>
                <a:rPr lang="fr-FR" sz="800" b="1">
                  <a:latin typeface="Times New Roman" panose="02020603050405020304" pitchFamily="18" charset="0"/>
                  <a:cs typeface="Times New Roman" panose="02020603050405020304" pitchFamily="18" charset="0"/>
                </a:rPr>
                <a:t>     : KINSHASA                  </a:t>
              </a:r>
            </a:p>
            <a:p>
              <a:r>
                <a:rPr lang="fr-FR" sz="800" b="0">
                  <a:latin typeface="Times New Roman" panose="02020603050405020304" pitchFamily="18" charset="0"/>
                  <a:cs typeface="Times New Roman" panose="02020603050405020304" pitchFamily="18" charset="0"/>
                </a:rPr>
                <a:t>COMMUNE/TERR </a:t>
              </a:r>
              <a:r>
                <a:rPr lang="fr-FR" sz="800" b="0" baseline="30000">
                  <a:latin typeface="Times New Roman" panose="02020603050405020304" pitchFamily="18" charset="0"/>
                  <a:cs typeface="Times New Roman" panose="02020603050405020304" pitchFamily="18" charset="0"/>
                </a:rPr>
                <a:t>(1) </a:t>
              </a:r>
              <a:r>
                <a:rPr lang="fr-FR" sz="800" b="1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: LIMETE</a:t>
              </a:r>
            </a:p>
            <a:p>
              <a:endParaRPr lang="fr-FR" sz="800" b="0" baseline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ECOLE</a:t>
              </a:r>
              <a:r>
                <a:rPr lang="fr-FR" sz="800" b="1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 :  LYCEE MAMA DIANKEBA</a:t>
              </a:r>
              <a:endParaRPr lang="fr-FR" sz="800" b="0" baseline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CODE</a:t>
              </a:r>
              <a:endParaRPr lang="fr-FR" sz="800" b="1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grpSp>
          <xdr:nvGrpSpPr>
            <xdr:cNvPr id="123" name="Groupe 122">
              <a:extLst>
                <a:ext uri="{FF2B5EF4-FFF2-40B4-BE49-F238E27FC236}">
                  <a16:creationId xmlns:a16="http://schemas.microsoft.com/office/drawing/2014/main" id="{6A047689-8123-4251-9661-ADC55CFF3490}"/>
                </a:ext>
              </a:extLst>
            </xdr:cNvPr>
            <xdr:cNvGrpSpPr/>
          </xdr:nvGrpSpPr>
          <xdr:grpSpPr>
            <a:xfrm>
              <a:off x="590550" y="1352550"/>
              <a:ext cx="2256375" cy="152400"/>
              <a:chOff x="1171575" y="1371600"/>
              <a:chExt cx="2304000" cy="257175"/>
            </a:xfrm>
          </xdr:grpSpPr>
          <xdr:grpSp>
            <xdr:nvGrpSpPr>
              <xdr:cNvPr id="133" name="Groupe 132">
                <a:extLst>
                  <a:ext uri="{FF2B5EF4-FFF2-40B4-BE49-F238E27FC236}">
                    <a16:creationId xmlns:a16="http://schemas.microsoft.com/office/drawing/2014/main" id="{243E1E59-AD2E-40E6-BE62-3C8C06613138}"/>
                  </a:ext>
                </a:extLst>
              </xdr:cNvPr>
              <xdr:cNvGrpSpPr/>
            </xdr:nvGrpSpPr>
            <xdr:grpSpPr>
              <a:xfrm>
                <a:off x="1171575" y="1381125"/>
                <a:ext cx="2304000" cy="247650"/>
                <a:chOff x="581025" y="2286000"/>
                <a:chExt cx="1902898" cy="228601"/>
              </a:xfrm>
            </xdr:grpSpPr>
            <xdr:sp macro="" textlink="">
              <xdr:nvSpPr>
                <xdr:cNvPr id="137" name="Rectangle 136">
                  <a:extLst>
                    <a:ext uri="{FF2B5EF4-FFF2-40B4-BE49-F238E27FC236}">
                      <a16:creationId xmlns:a16="http://schemas.microsoft.com/office/drawing/2014/main" id="{DB44EDC5-40B2-4159-8313-1DC1984E37C2}"/>
                    </a:ext>
                  </a:extLst>
                </xdr:cNvPr>
                <xdr:cNvSpPr/>
              </xdr:nvSpPr>
              <xdr:spPr>
                <a:xfrm>
                  <a:off x="581025" y="2286001"/>
                  <a:ext cx="1902898" cy="228599"/>
                </a:xfrm>
                <a:prstGeom prst="rect">
                  <a:avLst/>
                </a:prstGeom>
                <a:solidFill>
                  <a:schemeClr val="bg1"/>
                </a:solidFill>
                <a:ln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fr-FR" sz="1100"/>
                    <a:t>3</a:t>
                  </a:r>
                  <a:r>
                    <a:rPr lang="fr-FR" sz="1200" baseline="0">
                      <a:solidFill>
                        <a:schemeClr val="tx1"/>
                      </a:solidFill>
                      <a:latin typeface="Adobe Garamond Pro Bold" panose="02020702060506020403" pitchFamily="18" charset="0"/>
                    </a:rPr>
                    <a:t>   </a:t>
                  </a:r>
                  <a:endParaRPr lang="fr-FR" sz="1100"/>
                </a:p>
              </xdr:txBody>
            </xdr:sp>
            <xdr:cxnSp macro="">
              <xdr:nvCxnSpPr>
                <xdr:cNvPr id="138" name="Connecteur droit 137">
                  <a:extLst>
                    <a:ext uri="{FF2B5EF4-FFF2-40B4-BE49-F238E27FC236}">
                      <a16:creationId xmlns:a16="http://schemas.microsoft.com/office/drawing/2014/main" id="{C4B341E6-084E-46DA-894F-602A96E27597}"/>
                    </a:ext>
                  </a:extLst>
                </xdr:cNvPr>
                <xdr:cNvCxnSpPr/>
              </xdr:nvCxnSpPr>
              <xdr:spPr>
                <a:xfrm flipH="1">
                  <a:off x="764510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5" name="Connecteur droit 144">
                  <a:extLst>
                    <a:ext uri="{FF2B5EF4-FFF2-40B4-BE49-F238E27FC236}">
                      <a16:creationId xmlns:a16="http://schemas.microsoft.com/office/drawing/2014/main" id="{5D0D5A45-62FE-4201-9533-A6C68B076A0C}"/>
                    </a:ext>
                  </a:extLst>
                </xdr:cNvPr>
                <xdr:cNvCxnSpPr/>
              </xdr:nvCxnSpPr>
              <xdr:spPr>
                <a:xfrm flipH="1">
                  <a:off x="955856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8" name="Connecteur droit 147">
                  <a:extLst>
                    <a:ext uri="{FF2B5EF4-FFF2-40B4-BE49-F238E27FC236}">
                      <a16:creationId xmlns:a16="http://schemas.microsoft.com/office/drawing/2014/main" id="{46B2EB7D-4C20-4632-A753-6B0C7E76B447}"/>
                    </a:ext>
                  </a:extLst>
                </xdr:cNvPr>
                <xdr:cNvCxnSpPr/>
              </xdr:nvCxnSpPr>
              <xdr:spPr>
                <a:xfrm flipH="1">
                  <a:off x="1175354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9" name="Connecteur droit 148">
                  <a:extLst>
                    <a:ext uri="{FF2B5EF4-FFF2-40B4-BE49-F238E27FC236}">
                      <a16:creationId xmlns:a16="http://schemas.microsoft.com/office/drawing/2014/main" id="{BA3DD249-BBA9-4102-843A-4547CE0DF97D}"/>
                    </a:ext>
                  </a:extLst>
                </xdr:cNvPr>
                <xdr:cNvCxnSpPr/>
              </xdr:nvCxnSpPr>
              <xdr:spPr>
                <a:xfrm flipH="1">
                  <a:off x="1382439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0" name="Connecteur droit 149">
                  <a:extLst>
                    <a:ext uri="{FF2B5EF4-FFF2-40B4-BE49-F238E27FC236}">
                      <a16:creationId xmlns:a16="http://schemas.microsoft.com/office/drawing/2014/main" id="{1366C90B-7929-4E59-B7BF-C8571587434C}"/>
                    </a:ext>
                  </a:extLst>
                </xdr:cNvPr>
                <xdr:cNvCxnSpPr/>
              </xdr:nvCxnSpPr>
              <xdr:spPr>
                <a:xfrm flipH="1">
                  <a:off x="1646243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1" name="Connecteur droit 150">
                  <a:extLst>
                    <a:ext uri="{FF2B5EF4-FFF2-40B4-BE49-F238E27FC236}">
                      <a16:creationId xmlns:a16="http://schemas.microsoft.com/office/drawing/2014/main" id="{A6AA8C37-3CFD-4B20-AF10-CA3CCDFF758F}"/>
                    </a:ext>
                  </a:extLst>
                </xdr:cNvPr>
                <xdr:cNvCxnSpPr/>
              </xdr:nvCxnSpPr>
              <xdr:spPr>
                <a:xfrm flipH="1">
                  <a:off x="1845462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34" name="Connecteur droit 133">
                <a:extLst>
                  <a:ext uri="{FF2B5EF4-FFF2-40B4-BE49-F238E27FC236}">
                    <a16:creationId xmlns:a16="http://schemas.microsoft.com/office/drawing/2014/main" id="{372529E8-2EFF-47B3-8363-3C96DEFB3643}"/>
                  </a:ext>
                </a:extLst>
              </xdr:cNvPr>
              <xdr:cNvCxnSpPr/>
            </xdr:nvCxnSpPr>
            <xdr:spPr>
              <a:xfrm flipH="1">
                <a:off x="2933700" y="1381125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36" name="Connecteur droit 135">
                <a:extLst>
                  <a:ext uri="{FF2B5EF4-FFF2-40B4-BE49-F238E27FC236}">
                    <a16:creationId xmlns:a16="http://schemas.microsoft.com/office/drawing/2014/main" id="{9975A0E3-A5CD-4134-9555-AF446137C1A5}"/>
                  </a:ext>
                </a:extLst>
              </xdr:cNvPr>
              <xdr:cNvCxnSpPr/>
            </xdr:nvCxnSpPr>
            <xdr:spPr>
              <a:xfrm flipH="1">
                <a:off x="3228975" y="1371600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103" name="Groupe 102"/>
          <xdr:cNvGrpSpPr/>
        </xdr:nvGrpSpPr>
        <xdr:grpSpPr>
          <a:xfrm>
            <a:off x="3571873" y="847725"/>
            <a:ext cx="3800477" cy="685799"/>
            <a:chOff x="3571873" y="847725"/>
            <a:chExt cx="3800477" cy="685799"/>
          </a:xfrm>
        </xdr:grpSpPr>
        <xdr:grpSp>
          <xdr:nvGrpSpPr>
            <xdr:cNvPr id="104" name="Groupe 103"/>
            <xdr:cNvGrpSpPr/>
          </xdr:nvGrpSpPr>
          <xdr:grpSpPr>
            <a:xfrm>
              <a:off x="3571875" y="847725"/>
              <a:ext cx="3800475" cy="685799"/>
              <a:chOff x="7667625" y="247649"/>
              <a:chExt cx="3800475" cy="712870"/>
            </a:xfrm>
          </xdr:grpSpPr>
          <xdr:sp macro="" textlink="">
            <xdr:nvSpPr>
              <xdr:cNvPr id="119" name="ZoneTexte 118"/>
              <xdr:cNvSpPr txBox="1"/>
            </xdr:nvSpPr>
            <xdr:spPr>
              <a:xfrm>
                <a:off x="7667625" y="247649"/>
                <a:ext cx="3790950" cy="71287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8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ELEVE</a:t>
                </a:r>
                <a:r>
                  <a:rPr lang="fr-FR" sz="8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  : POSHO BATSHONGELIBEWE DIEU MERCI</a:t>
                </a:r>
              </a:p>
              <a:p>
                <a:endPara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  <a:p>
                <a:endPara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  <a:p>
                <a:r>
                  <a:rPr lang="fr-FR" sz="800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CLASSE</a:t>
                </a:r>
                <a:r>
                  <a:rPr lang="fr-FR" sz="8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  7 ème ANNEE SECONDAIRE </a:t>
                </a:r>
                <a:endPara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  <a:p>
                <a:r>
                  <a:rPr lang="fr-FR" sz="800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N° PERM</a:t>
                </a:r>
                <a:r>
                  <a:rPr lang="fr-FR" sz="8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.   </a:t>
                </a:r>
                <a:endParaRPr lang="fr-FR" sz="8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20" name="ZoneTexte 119"/>
              <xdr:cNvSpPr txBox="1"/>
            </xdr:nvSpPr>
            <xdr:spPr>
              <a:xfrm>
                <a:off x="10744200" y="266700"/>
                <a:ext cx="695325" cy="19050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1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SEXE:</a:t>
                </a:r>
                <a:r>
                  <a:rPr lang="fr-FR" sz="10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fr-FR" sz="10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M</a:t>
                </a:r>
                <a:endParaRPr lang="fr-FR" sz="10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21" name="ZoneTexte 120"/>
              <xdr:cNvSpPr txBox="1"/>
            </xdr:nvSpPr>
            <xdr:spPr>
              <a:xfrm>
                <a:off x="10401300" y="485399"/>
                <a:ext cx="1066800" cy="197893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8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LE   15    11   1989  </a:t>
                </a:r>
                <a:endParaRPr lang="fr-FR" sz="8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  <xdr:grpSp>
          <xdr:nvGrpSpPr>
            <xdr:cNvPr id="105" name="Groupe 104">
              <a:extLst>
                <a:ext uri="{FF2B5EF4-FFF2-40B4-BE49-F238E27FC236}">
                  <a16:creationId xmlns:a16="http://schemas.microsoft.com/office/drawing/2014/main" id="{6A047689-8123-4251-9661-ADC55CFF3490}"/>
                </a:ext>
              </a:extLst>
            </xdr:cNvPr>
            <xdr:cNvGrpSpPr/>
          </xdr:nvGrpSpPr>
          <xdr:grpSpPr>
            <a:xfrm>
              <a:off x="4152900" y="1343025"/>
              <a:ext cx="2256375" cy="152400"/>
              <a:chOff x="1171575" y="1371600"/>
              <a:chExt cx="2304000" cy="257175"/>
            </a:xfrm>
          </xdr:grpSpPr>
          <xdr:grpSp>
            <xdr:nvGrpSpPr>
              <xdr:cNvPr id="109" name="Groupe 108">
                <a:extLst>
                  <a:ext uri="{FF2B5EF4-FFF2-40B4-BE49-F238E27FC236}">
                    <a16:creationId xmlns:a16="http://schemas.microsoft.com/office/drawing/2014/main" id="{243E1E59-AD2E-40E6-BE62-3C8C06613138}"/>
                  </a:ext>
                </a:extLst>
              </xdr:cNvPr>
              <xdr:cNvGrpSpPr/>
            </xdr:nvGrpSpPr>
            <xdr:grpSpPr>
              <a:xfrm>
                <a:off x="1171575" y="1381125"/>
                <a:ext cx="2304000" cy="247650"/>
                <a:chOff x="581025" y="2286000"/>
                <a:chExt cx="1902898" cy="228601"/>
              </a:xfrm>
            </xdr:grpSpPr>
            <xdr:sp macro="" textlink="">
              <xdr:nvSpPr>
                <xdr:cNvPr id="112" name="Rectangle 111">
                  <a:extLst>
                    <a:ext uri="{FF2B5EF4-FFF2-40B4-BE49-F238E27FC236}">
                      <a16:creationId xmlns:a16="http://schemas.microsoft.com/office/drawing/2014/main" id="{DB44EDC5-40B2-4159-8313-1DC1984E37C2}"/>
                    </a:ext>
                  </a:extLst>
                </xdr:cNvPr>
                <xdr:cNvSpPr/>
              </xdr:nvSpPr>
              <xdr:spPr>
                <a:xfrm>
                  <a:off x="581025" y="2286001"/>
                  <a:ext cx="1902898" cy="228599"/>
                </a:xfrm>
                <a:prstGeom prst="rect">
                  <a:avLst/>
                </a:prstGeom>
                <a:solidFill>
                  <a:schemeClr val="bg1"/>
                </a:solidFill>
                <a:ln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fr-FR" sz="1100"/>
                    <a:t>3</a:t>
                  </a:r>
                  <a:r>
                    <a:rPr lang="fr-FR" sz="1200" baseline="0">
                      <a:solidFill>
                        <a:schemeClr val="tx1"/>
                      </a:solidFill>
                      <a:latin typeface="Adobe Garamond Pro Bold" panose="02020702060506020403" pitchFamily="18" charset="0"/>
                    </a:rPr>
                    <a:t>   </a:t>
                  </a:r>
                  <a:endParaRPr lang="fr-FR" sz="1100"/>
                </a:p>
              </xdr:txBody>
            </xdr:sp>
            <xdr:cxnSp macro="">
              <xdr:nvCxnSpPr>
                <xdr:cNvPr id="113" name="Connecteur droit 112">
                  <a:extLst>
                    <a:ext uri="{FF2B5EF4-FFF2-40B4-BE49-F238E27FC236}">
                      <a16:creationId xmlns:a16="http://schemas.microsoft.com/office/drawing/2014/main" id="{C4B341E6-084E-46DA-894F-602A96E27597}"/>
                    </a:ext>
                  </a:extLst>
                </xdr:cNvPr>
                <xdr:cNvCxnSpPr/>
              </xdr:nvCxnSpPr>
              <xdr:spPr>
                <a:xfrm flipH="1">
                  <a:off x="764510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4" name="Connecteur droit 113">
                  <a:extLst>
                    <a:ext uri="{FF2B5EF4-FFF2-40B4-BE49-F238E27FC236}">
                      <a16:creationId xmlns:a16="http://schemas.microsoft.com/office/drawing/2014/main" id="{5D0D5A45-62FE-4201-9533-A6C68B076A0C}"/>
                    </a:ext>
                  </a:extLst>
                </xdr:cNvPr>
                <xdr:cNvCxnSpPr/>
              </xdr:nvCxnSpPr>
              <xdr:spPr>
                <a:xfrm flipH="1">
                  <a:off x="955856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5" name="Connecteur droit 114">
                  <a:extLst>
                    <a:ext uri="{FF2B5EF4-FFF2-40B4-BE49-F238E27FC236}">
                      <a16:creationId xmlns:a16="http://schemas.microsoft.com/office/drawing/2014/main" id="{46B2EB7D-4C20-4632-A753-6B0C7E76B447}"/>
                    </a:ext>
                  </a:extLst>
                </xdr:cNvPr>
                <xdr:cNvCxnSpPr/>
              </xdr:nvCxnSpPr>
              <xdr:spPr>
                <a:xfrm flipH="1">
                  <a:off x="1175354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6" name="Connecteur droit 115">
                  <a:extLst>
                    <a:ext uri="{FF2B5EF4-FFF2-40B4-BE49-F238E27FC236}">
                      <a16:creationId xmlns:a16="http://schemas.microsoft.com/office/drawing/2014/main" id="{BA3DD249-BBA9-4102-843A-4547CE0DF97D}"/>
                    </a:ext>
                  </a:extLst>
                </xdr:cNvPr>
                <xdr:cNvCxnSpPr/>
              </xdr:nvCxnSpPr>
              <xdr:spPr>
                <a:xfrm flipH="1">
                  <a:off x="1382439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7" name="Connecteur droit 116">
                  <a:extLst>
                    <a:ext uri="{FF2B5EF4-FFF2-40B4-BE49-F238E27FC236}">
                      <a16:creationId xmlns:a16="http://schemas.microsoft.com/office/drawing/2014/main" id="{1366C90B-7929-4E59-B7BF-C8571587434C}"/>
                    </a:ext>
                  </a:extLst>
                </xdr:cNvPr>
                <xdr:cNvCxnSpPr/>
              </xdr:nvCxnSpPr>
              <xdr:spPr>
                <a:xfrm flipH="1">
                  <a:off x="1646243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8" name="Connecteur droit 117">
                  <a:extLst>
                    <a:ext uri="{FF2B5EF4-FFF2-40B4-BE49-F238E27FC236}">
                      <a16:creationId xmlns:a16="http://schemas.microsoft.com/office/drawing/2014/main" id="{A6AA8C37-3CFD-4B20-AF10-CA3CCDFF758F}"/>
                    </a:ext>
                  </a:extLst>
                </xdr:cNvPr>
                <xdr:cNvCxnSpPr/>
              </xdr:nvCxnSpPr>
              <xdr:spPr>
                <a:xfrm flipH="1">
                  <a:off x="1845462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10" name="Connecteur droit 109">
                <a:extLst>
                  <a:ext uri="{FF2B5EF4-FFF2-40B4-BE49-F238E27FC236}">
                    <a16:creationId xmlns:a16="http://schemas.microsoft.com/office/drawing/2014/main" id="{372529E8-2EFF-47B3-8363-3C96DEFB3643}"/>
                  </a:ext>
                </a:extLst>
              </xdr:cNvPr>
              <xdr:cNvCxnSpPr/>
            </xdr:nvCxnSpPr>
            <xdr:spPr>
              <a:xfrm flipH="1">
                <a:off x="2933700" y="1381125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11" name="Connecteur droit 110">
                <a:extLst>
                  <a:ext uri="{FF2B5EF4-FFF2-40B4-BE49-F238E27FC236}">
                    <a16:creationId xmlns:a16="http://schemas.microsoft.com/office/drawing/2014/main" id="{9975A0E3-A5CD-4134-9555-AF446137C1A5}"/>
                  </a:ext>
                </a:extLst>
              </xdr:cNvPr>
              <xdr:cNvCxnSpPr/>
            </xdr:nvCxnSpPr>
            <xdr:spPr>
              <a:xfrm flipH="1">
                <a:off x="3228975" y="1371600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06" name="Connecteur droit 105"/>
            <xdr:cNvCxnSpPr/>
          </xdr:nvCxnSpPr>
          <xdr:spPr>
            <a:xfrm flipH="1">
              <a:off x="6762750" y="1123950"/>
              <a:ext cx="36001" cy="104775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07" name="ZoneTexte 106"/>
            <xdr:cNvSpPr txBox="1"/>
          </xdr:nvSpPr>
          <xdr:spPr>
            <a:xfrm>
              <a:off x="3571873" y="1047750"/>
              <a:ext cx="2733677" cy="19050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900" b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NE (E)</a:t>
              </a:r>
              <a:r>
                <a:rPr lang="fr-FR" sz="900" b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A </a:t>
              </a:r>
              <a:r>
                <a:rPr lang="fr-FR" sz="9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 MASI-MANIMBALA KASAI</a:t>
              </a:r>
              <a:endParaRPr lang="fr-FR" sz="50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cxnSp macro="">
          <xdr:nvCxnSpPr>
            <xdr:cNvPr id="108" name="Connecteur droit 107"/>
            <xdr:cNvCxnSpPr/>
          </xdr:nvCxnSpPr>
          <xdr:spPr>
            <a:xfrm flipH="1">
              <a:off x="6943725" y="1133475"/>
              <a:ext cx="36001" cy="104775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1038224</xdr:colOff>
      <xdr:row>0</xdr:row>
      <xdr:rowOff>0</xdr:rowOff>
    </xdr:from>
    <xdr:ext cx="10277475" cy="657225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466849" y="0"/>
          <a:ext cx="10277475" cy="657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FR" sz="4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BASE</a:t>
          </a:r>
          <a:r>
            <a:rPr lang="fr-FR" sz="44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 DES DONNEES DE LA 7ème ANNEE B</a:t>
          </a:r>
          <a:endParaRPr lang="fr-FR" sz="44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accent4">
                  <a:satMod val="175000"/>
                  <a:alpha val="40000"/>
                </a:schemeClr>
              </a:glow>
              <a:outerShdw dist="38100" dir="2700000" algn="tl" rotWithShape="0">
                <a:schemeClr val="accent1">
                  <a:lumMod val="75000"/>
                </a:schemeClr>
              </a:outerShdw>
              <a:reflection blurRad="6350" stA="55000" endA="300" endPos="45500" dir="5400000" sy="-100000" algn="bl" rotWithShape="0"/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76201</xdr:rowOff>
    </xdr:from>
    <xdr:to>
      <xdr:col>2</xdr:col>
      <xdr:colOff>0</xdr:colOff>
      <xdr:row>18</xdr:row>
      <xdr:rowOff>57151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212"/>
        <a:stretch/>
      </xdr:blipFill>
      <xdr:spPr>
        <a:xfrm>
          <a:off x="0" y="3667126"/>
          <a:ext cx="4953000" cy="571500"/>
        </a:xfrm>
        <a:prstGeom prst="rect">
          <a:avLst/>
        </a:prstGeom>
      </xdr:spPr>
    </xdr:pic>
    <xdr:clientData/>
  </xdr:twoCellAnchor>
  <xdr:twoCellAnchor editAs="oneCell">
    <xdr:from>
      <xdr:col>1</xdr:col>
      <xdr:colOff>885824</xdr:colOff>
      <xdr:row>14</xdr:row>
      <xdr:rowOff>38100</xdr:rowOff>
    </xdr:from>
    <xdr:to>
      <xdr:col>1</xdr:col>
      <xdr:colOff>1428749</xdr:colOff>
      <xdr:row>19</xdr:row>
      <xdr:rowOff>38099</xdr:rowOff>
    </xdr:to>
    <xdr:pic macro="[0]!ecraserpourcentage"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9" y="3543300"/>
          <a:ext cx="542925" cy="666749"/>
        </a:xfrm>
        <a:prstGeom prst="rect">
          <a:avLst/>
        </a:prstGeom>
        <a:effectLst/>
      </xdr:spPr>
    </xdr:pic>
    <xdr:clientData/>
  </xdr:twoCellAnchor>
  <xdr:twoCellAnchor editAs="oneCell">
    <xdr:from>
      <xdr:col>1</xdr:col>
      <xdr:colOff>2333624</xdr:colOff>
      <xdr:row>14</xdr:row>
      <xdr:rowOff>57150</xdr:rowOff>
    </xdr:from>
    <xdr:to>
      <xdr:col>1</xdr:col>
      <xdr:colOff>2933699</xdr:colOff>
      <xdr:row>18</xdr:row>
      <xdr:rowOff>76199</xdr:rowOff>
    </xdr:to>
    <xdr:pic macro="[0]!PALMA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799" y="3562350"/>
          <a:ext cx="600075" cy="609599"/>
        </a:xfrm>
        <a:prstGeom prst="rect">
          <a:avLst/>
        </a:prstGeom>
        <a:effectLst/>
      </xdr:spPr>
    </xdr:pic>
    <xdr:clientData/>
  </xdr:twoCellAnchor>
  <xdr:twoCellAnchor>
    <xdr:from>
      <xdr:col>0</xdr:col>
      <xdr:colOff>571500</xdr:colOff>
      <xdr:row>14</xdr:row>
      <xdr:rowOff>152400</xdr:rowOff>
    </xdr:from>
    <xdr:to>
      <xdr:col>1</xdr:col>
      <xdr:colOff>333375</xdr:colOff>
      <xdr:row>18</xdr:row>
      <xdr:rowOff>28575</xdr:rowOff>
    </xdr:to>
    <xdr:sp macro="[0]!AFECTERNOMGRILL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71500" y="3657600"/>
          <a:ext cx="781050" cy="45720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50">
              <a:solidFill>
                <a:schemeClr val="tx1"/>
              </a:solidFill>
              <a:latin typeface="Berlin Sans FB" panose="020E0602020502020306" pitchFamily="34" charset="0"/>
            </a:rPr>
            <a:t>REMPLIR LE BULL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123825</xdr:rowOff>
    </xdr:from>
    <xdr:to>
      <xdr:col>0</xdr:col>
      <xdr:colOff>638175</xdr:colOff>
      <xdr:row>2</xdr:row>
      <xdr:rowOff>295275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9100" y="1171575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1190625</xdr:colOff>
      <xdr:row>2</xdr:row>
      <xdr:rowOff>133350</xdr:rowOff>
    </xdr:from>
    <xdr:to>
      <xdr:col>0</xdr:col>
      <xdr:colOff>1409700</xdr:colOff>
      <xdr:row>2</xdr:row>
      <xdr:rowOff>304800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90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1895475</xdr:colOff>
      <xdr:row>2</xdr:row>
      <xdr:rowOff>133350</xdr:rowOff>
    </xdr:from>
    <xdr:to>
      <xdr:col>1</xdr:col>
      <xdr:colOff>200025</xdr:colOff>
      <xdr:row>2</xdr:row>
      <xdr:rowOff>304800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89547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800100</xdr:colOff>
      <xdr:row>2</xdr:row>
      <xdr:rowOff>133350</xdr:rowOff>
    </xdr:from>
    <xdr:to>
      <xdr:col>1</xdr:col>
      <xdr:colOff>1019175</xdr:colOff>
      <xdr:row>2</xdr:row>
      <xdr:rowOff>304800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714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1485900</xdr:colOff>
      <xdr:row>2</xdr:row>
      <xdr:rowOff>133350</xdr:rowOff>
    </xdr:from>
    <xdr:to>
      <xdr:col>1</xdr:col>
      <xdr:colOff>1695450</xdr:colOff>
      <xdr:row>2</xdr:row>
      <xdr:rowOff>304800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400425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800098</xdr:colOff>
      <xdr:row>2</xdr:row>
      <xdr:rowOff>133349</xdr:rowOff>
    </xdr:from>
    <xdr:to>
      <xdr:col>2</xdr:col>
      <xdr:colOff>1142999</xdr:colOff>
      <xdr:row>2</xdr:row>
      <xdr:rowOff>342900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581523" y="1181099"/>
          <a:ext cx="342901" cy="20955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0</xdr:row>
      <xdr:rowOff>66675</xdr:rowOff>
    </xdr:from>
    <xdr:to>
      <xdr:col>5</xdr:col>
      <xdr:colOff>457200</xdr:colOff>
      <xdr:row>2</xdr:row>
      <xdr:rowOff>66675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38125" y="66675"/>
          <a:ext cx="6096000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600">
            <a:latin typeface="Arial Rounded MT Bold" panose="020F0704030504030204" pitchFamily="34" charset="0"/>
          </a:endParaRPr>
        </a:p>
        <a:p>
          <a:r>
            <a:rPr lang="fr-FR" sz="1600">
              <a:latin typeface="Arial Rounded MT Bold" panose="020F0704030504030204" pitchFamily="34" charset="0"/>
            </a:rPr>
            <a:t>CLASSE:                                PALMARES        </a:t>
          </a:r>
          <a:r>
            <a:rPr lang="fr-FR" sz="1600" baseline="0">
              <a:latin typeface="Arial Rounded MT Bold" panose="020F0704030504030204" pitchFamily="34" charset="0"/>
            </a:rPr>
            <a:t> 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600" baseline="0">
              <a:latin typeface="Arial Rounded MT Bold" panose="020F0704030504030204" pitchFamily="34" charset="0"/>
            </a:rPr>
            <a:t>                              </a:t>
          </a:r>
          <a:r>
            <a:rPr lang="fr-FR" sz="1600">
              <a:latin typeface="Arial Rounded MT Bold" panose="020F0704030504030204" pitchFamily="34" charset="0"/>
            </a:rPr>
            <a:t>			</a:t>
          </a:r>
          <a:r>
            <a:rPr lang="fr-FR" sz="1600" baseline="0">
              <a:latin typeface="Arial Rounded MT Bold" panose="020F0704030504030204" pitchFamily="34" charset="0"/>
            </a:rPr>
            <a:t>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DATE: 11/12/2021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100" b="1">
              <a:solidFill>
                <a:schemeClr val="tx1"/>
              </a:solidFill>
              <a:effectLst/>
              <a:latin typeface="Adobe Gothic Std B" panose="020B0800000000000000" pitchFamily="34" charset="-128"/>
              <a:ea typeface="Adobe Gothic Std B" panose="020B0800000000000000" pitchFamily="34" charset="-128"/>
              <a:cs typeface="+mn-cs"/>
            </a:rPr>
            <a:t>					</a:t>
          </a:r>
          <a:endParaRPr lang="fr-FR" sz="1600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</xdr:col>
      <xdr:colOff>171450</xdr:colOff>
      <xdr:row>2</xdr:row>
      <xdr:rowOff>133350</xdr:rowOff>
    </xdr:from>
    <xdr:to>
      <xdr:col>2</xdr:col>
      <xdr:colOff>381000</xdr:colOff>
      <xdr:row>2</xdr:row>
      <xdr:rowOff>304800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952875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257175</xdr:colOff>
      <xdr:row>2</xdr:row>
      <xdr:rowOff>133349</xdr:rowOff>
    </xdr:from>
    <xdr:to>
      <xdr:col>4</xdr:col>
      <xdr:colOff>47625</xdr:colOff>
      <xdr:row>2</xdr:row>
      <xdr:rowOff>333374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219700" y="1181099"/>
          <a:ext cx="266700" cy="20002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380999</xdr:colOff>
      <xdr:row>2</xdr:row>
      <xdr:rowOff>152399</xdr:rowOff>
    </xdr:from>
    <xdr:to>
      <xdr:col>5</xdr:col>
      <xdr:colOff>323849</xdr:colOff>
      <xdr:row>2</xdr:row>
      <xdr:rowOff>333374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819774" y="1200149"/>
          <a:ext cx="476250" cy="1809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123825</xdr:colOff>
      <xdr:row>1</xdr:row>
      <xdr:rowOff>133351</xdr:rowOff>
    </xdr:from>
    <xdr:to>
      <xdr:col>11</xdr:col>
      <xdr:colOff>276225</xdr:colOff>
      <xdr:row>1</xdr:row>
      <xdr:rowOff>619125</xdr:rowOff>
    </xdr:to>
    <xdr:sp macro="" textlink="">
      <xdr:nvSpPr>
        <xdr:cNvPr id="15" name="Flèche droit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420225" y="533401"/>
          <a:ext cx="571500" cy="4857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9</xdr:col>
      <xdr:colOff>198530</xdr:colOff>
      <xdr:row>1</xdr:row>
      <xdr:rowOff>95249</xdr:rowOff>
    </xdr:from>
    <xdr:to>
      <xdr:col>9</xdr:col>
      <xdr:colOff>685799</xdr:colOff>
      <xdr:row>1</xdr:row>
      <xdr:rowOff>592264</xdr:rowOff>
    </xdr:to>
    <xdr:pic macro="[0]!print_pall">
      <xdr:nvPicPr>
        <xdr:cNvPr id="17" name="Imag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04405" y="495299"/>
          <a:ext cx="487269" cy="497015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1344453</xdr:colOff>
      <xdr:row>1</xdr:row>
      <xdr:rowOff>9526</xdr:rowOff>
    </xdr:from>
    <xdr:to>
      <xdr:col>9</xdr:col>
      <xdr:colOff>142875</xdr:colOff>
      <xdr:row>2</xdr:row>
      <xdr:rowOff>19052</xdr:rowOff>
    </xdr:to>
    <xdr:pic macro="[0]!ecrasezpalma">
      <xdr:nvPicPr>
        <xdr:cNvPr id="8" name="Imag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6753" y="409576"/>
          <a:ext cx="646272" cy="657226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114300</xdr:colOff>
      <xdr:row>1</xdr:row>
      <xdr:rowOff>55123</xdr:rowOff>
    </xdr:from>
    <xdr:to>
      <xdr:col>7</xdr:col>
      <xdr:colOff>657225</xdr:colOff>
      <xdr:row>1</xdr:row>
      <xdr:rowOff>609600</xdr:rowOff>
    </xdr:to>
    <xdr:pic macro="[0]!print_pall">
      <xdr:nvPicPr>
        <xdr:cNvPr id="16" name="Imag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600" y="455173"/>
          <a:ext cx="542925" cy="554477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161925</xdr:colOff>
      <xdr:row>18</xdr:row>
      <xdr:rowOff>38100</xdr:rowOff>
    </xdr:from>
    <xdr:to>
      <xdr:col>13</xdr:col>
      <xdr:colOff>514350</xdr:colOff>
      <xdr:row>29</xdr:row>
      <xdr:rowOff>190500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B1P">
      <xdr:nvPicPr>
        <xdr:cNvPr id="2" name="Image 1">
          <a:extLst>
            <a:ext uri="{FF2B5EF4-FFF2-40B4-BE49-F238E27FC236}">
              <a16:creationId xmlns:a16="http://schemas.microsoft.com/office/drawing/2014/main" id="{00D63796-8DD9-4048-B80D-54C6CFE84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00D63796-8DD9-4048-B80D-54C6CFE84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2F0B4BE3-FA8A-4E43-8B53-570C5D9B4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95812C90-9936-42CC-BB24-5BF23630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DBA2553C-0FD2-4579-B389-1DD471AB2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71E8A17F-0918-4DA4-B713-CBBD0EA47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CF18B846-B1C8-4AF5-AC3D-6D7CAC72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00D63796-8DD9-4048-B80D-54C6CFE84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2F0B4BE3-FA8A-4E43-8B53-570C5D9B4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95812C90-9936-42CC-BB24-5BF23630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00D63796-8DD9-4048-B80D-54C6CFE84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2F0B4BE3-FA8A-4E43-8B53-570C5D9B4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95812C90-9936-42CC-BB24-5BF23630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DBA2553C-0FD2-4579-B389-1DD471AB2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71E8A17F-0918-4DA4-B713-CBBD0EA47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CF18B846-B1C8-4AF5-AC3D-6D7CAC72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tables/table1.xml><?xml version="1.0" encoding="utf-8"?>
<table xmlns="http://schemas.openxmlformats.org/spreadsheetml/2006/main" id="2" name="Tableau5" displayName="Tableau5" ref="A4:F96" totalsRowShown="0" headerRowDxfId="217" dataDxfId="216">
  <autoFilter ref="A4:F96"/>
  <sortState ref="A5:Q1048567">
    <sortCondition ref="B4:B1048567"/>
  </sortState>
  <tableColumns count="6">
    <tableColumn id="13" name="id_élève" dataDxfId="215"/>
    <tableColumn id="1" name="nom_élève" dataDxfId="214"/>
    <tableColumn id="2" name="POST-NOM" dataDxfId="213"/>
    <tableColumn id="3" name="PRENOM" dataDxfId="212"/>
    <tableColumn id="4" name="SEXE" dataDxfId="211"/>
    <tableColumn id="17" name="CONDUITE" dataDxfId="210"/>
  </tableColumns>
  <tableStyleInfo name="TableStyleMedium28" showFirstColumn="0" showLastColumn="0" showRowStripes="1" showColumnStripes="0"/>
  <extLst>
    <ext xmlns:x14="http://schemas.microsoft.com/office/spreadsheetml/2009/9/main" uri="{504A1905-F514-4f6f-8877-14C23A59335A}">
      <x14:table altText="POURCENTAGE" altTextSummary="ICI NOUS AVONS"/>
    </ext>
  </extLst>
</table>
</file>

<file path=xl/tables/table2.xml><?xml version="1.0" encoding="utf-8"?>
<table xmlns="http://schemas.openxmlformats.org/spreadsheetml/2006/main" id="1" name="Tableau1" displayName="Tableau1" ref="A4:F9" totalsRowShown="0" headerRowDxfId="206" dataDxfId="205">
  <autoFilter ref="A4:F9"/>
  <sortState ref="A5:F27">
    <sortCondition ref="F4:F27"/>
  </sortState>
  <tableColumns count="6">
    <tableColumn id="1" name="NOM" dataDxfId="204"/>
    <tableColumn id="2" name="POST-NOM" dataDxfId="203"/>
    <tableColumn id="3" name="PRENOM" dataDxfId="202"/>
    <tableColumn id="4" name="SEXE" dataDxfId="201"/>
    <tableColumn id="5" name="%" dataDxfId="200"/>
    <tableColumn id="6" name="PLACE" dataDxfId="199">
      <calculatedColumnFormula>RANK(Tableau1[[#This Row],[%]],Tableau1[%],0)</calculatedColumnFormula>
    </tableColumn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4" name="Tableau475" displayName="Tableau475" ref="A3:W5" totalsRowShown="0" headerRowDxfId="192" tableBorderDxfId="191">
  <autoFilter ref="A3:W5"/>
  <tableColumns count="23">
    <tableColumn id="1" name="NOM" dataDxfId="190"/>
    <tableColumn id="2" name="POST NOM" dataDxfId="189"/>
    <tableColumn id="3" name="40" dataDxfId="188"/>
    <tableColumn id="4" name="10" dataDxfId="187"/>
    <tableColumn id="5" name="20" dataDxfId="186"/>
    <tableColumn id="6" name="102" dataDxfId="185"/>
    <tableColumn id="7" name="103" dataDxfId="184"/>
    <tableColumn id="8" name="104" dataDxfId="183"/>
    <tableColumn id="9" name="105" dataDxfId="182"/>
    <tableColumn id="10" name="106" dataDxfId="181"/>
    <tableColumn id="11" name="107" dataDxfId="180"/>
    <tableColumn id="12" name="108" dataDxfId="179"/>
    <tableColumn id="13" name="30" dataDxfId="178"/>
    <tableColumn id="14" name="70" dataDxfId="177"/>
    <tableColumn id="15" name="209" dataDxfId="176"/>
    <tableColumn id="16" name="2010" dataDxfId="175"/>
    <tableColumn id="17" name="2011" dataDxfId="174"/>
    <tableColumn id="18" name="2012" dataDxfId="173"/>
    <tableColumn id="19" name="202" dataDxfId="172"/>
    <tableColumn id="20" name="2014" dataDxfId="171"/>
    <tableColumn id="21" name="2015" dataDxfId="170"/>
    <tableColumn id="22" name="2016" dataDxfId="169"/>
    <tableColumn id="23" name="100" dataDxfId="168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id="6" name="Tableau47" displayName="Tableau47" ref="A3:W4" totalsRowShown="0" headerRowDxfId="158" tableBorderDxfId="157">
  <autoFilter ref="A3:W4"/>
  <tableColumns count="23">
    <tableColumn id="1" name="NOM" dataDxfId="156"/>
    <tableColumn id="2" name="POST NOM" dataDxfId="155"/>
    <tableColumn id="3" name="40" dataDxfId="154"/>
    <tableColumn id="4" name="10" dataDxfId="153"/>
    <tableColumn id="5" name="20" dataDxfId="152"/>
    <tableColumn id="6" name="102" dataDxfId="151"/>
    <tableColumn id="7" name="103" dataDxfId="150"/>
    <tableColumn id="8" name="104" dataDxfId="149"/>
    <tableColumn id="9" name="105" dataDxfId="148"/>
    <tableColumn id="10" name="106" dataDxfId="147"/>
    <tableColumn id="11" name="107" dataDxfId="146"/>
    <tableColumn id="12" name="108" dataDxfId="145"/>
    <tableColumn id="13" name="30" dataDxfId="144"/>
    <tableColumn id="14" name="70" dataDxfId="143"/>
    <tableColumn id="15" name="209" dataDxfId="142"/>
    <tableColumn id="16" name="2010" dataDxfId="141"/>
    <tableColumn id="17" name="2011" dataDxfId="140"/>
    <tableColumn id="18" name="2012" dataDxfId="139"/>
    <tableColumn id="19" name="202" dataDxfId="138"/>
    <tableColumn id="20" name="2014" dataDxfId="137"/>
    <tableColumn id="21" name="2015" dataDxfId="136"/>
    <tableColumn id="22" name="2016" dataDxfId="135"/>
    <tableColumn id="23" name="100" dataDxfId="134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id="7" name="Tableau478" displayName="Tableau478" ref="A3:W5" totalsRowShown="0" headerRowDxfId="125" tableBorderDxfId="124">
  <autoFilter ref="A3:W5"/>
  <tableColumns count="23">
    <tableColumn id="1" name="NOM" dataDxfId="123"/>
    <tableColumn id="2" name="POST NOM" dataDxfId="122"/>
    <tableColumn id="3" name="80" dataDxfId="121"/>
    <tableColumn id="4" name="20" dataDxfId="120"/>
    <tableColumn id="5" name="40" dataDxfId="119"/>
    <tableColumn id="6" name="202" dataDxfId="118"/>
    <tableColumn id="7" name="203" dataDxfId="117"/>
    <tableColumn id="8" name="204" dataDxfId="116"/>
    <tableColumn id="9" name="205" dataDxfId="115"/>
    <tableColumn id="10" name="206" dataDxfId="114"/>
    <tableColumn id="11" name="207" dataDxfId="113"/>
    <tableColumn id="12" name="208" dataDxfId="112"/>
    <tableColumn id="13" name="60" dataDxfId="111"/>
    <tableColumn id="14" name="140" dataDxfId="110"/>
    <tableColumn id="15" name="402" dataDxfId="109"/>
    <tableColumn id="16" name="403" dataDxfId="108"/>
    <tableColumn id="17" name="404" dataDxfId="107"/>
    <tableColumn id="18" name="405" dataDxfId="106"/>
    <tableColumn id="19" name="406" dataDxfId="105"/>
    <tableColumn id="20" name="407" dataDxfId="104"/>
    <tableColumn id="21" name="408" dataDxfId="103"/>
    <tableColumn id="22" name="409" dataDxfId="102"/>
    <tableColumn id="23" name="100" dataDxfId="101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9" name="Tableau475910" displayName="Tableau475910" ref="A3:W4" totalsRowShown="0" headerRowDxfId="91" tableBorderDxfId="90">
  <autoFilter ref="A3:W4"/>
  <tableColumns count="23">
    <tableColumn id="1" name="NOM" dataDxfId="89"/>
    <tableColumn id="2" name="POST NOM" dataDxfId="88"/>
    <tableColumn id="3" name="40" dataDxfId="87"/>
    <tableColumn id="4" name="10" dataDxfId="86"/>
    <tableColumn id="5" name="20" dataDxfId="85"/>
    <tableColumn id="6" name="102" dataDxfId="84"/>
    <tableColumn id="7" name="103" dataDxfId="83"/>
    <tableColumn id="8" name="104" dataDxfId="82"/>
    <tableColumn id="9" name="105" dataDxfId="81"/>
    <tableColumn id="10" name="106" dataDxfId="80"/>
    <tableColumn id="11" name="107" dataDxfId="79"/>
    <tableColumn id="12" name="108" dataDxfId="78"/>
    <tableColumn id="13" name="30" dataDxfId="77"/>
    <tableColumn id="14" name="70" dataDxfId="76"/>
    <tableColumn id="15" name="209" dataDxfId="75"/>
    <tableColumn id="16" name="2010" dataDxfId="74"/>
    <tableColumn id="17" name="2011" dataDxfId="73"/>
    <tableColumn id="18" name="2012" dataDxfId="72"/>
    <tableColumn id="19" name="202" dataDxfId="71"/>
    <tableColumn id="20" name="2014" dataDxfId="70"/>
    <tableColumn id="21" name="2015" dataDxfId="69"/>
    <tableColumn id="22" name="2016" dataDxfId="68"/>
    <tableColumn id="23" name="100" dataDxfId="67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id="8" name="Tableau4759" displayName="Tableau4759" ref="A3:W4" totalsRowShown="0" headerRowDxfId="57" tableBorderDxfId="56">
  <autoFilter ref="A3:W4"/>
  <tableColumns count="23">
    <tableColumn id="1" name="NOM" dataDxfId="55"/>
    <tableColumn id="2" name="POST NOM" dataDxfId="54"/>
    <tableColumn id="3" name="40" dataDxfId="53"/>
    <tableColumn id="4" name="10" dataDxfId="52"/>
    <tableColumn id="5" name="20" dataDxfId="51"/>
    <tableColumn id="6" name="102" dataDxfId="50"/>
    <tableColumn id="7" name="103" dataDxfId="49"/>
    <tableColumn id="8" name="104" dataDxfId="48"/>
    <tableColumn id="9" name="105" dataDxfId="47"/>
    <tableColumn id="10" name="106" dataDxfId="46"/>
    <tableColumn id="11" name="107" dataDxfId="45"/>
    <tableColumn id="12" name="108" dataDxfId="44"/>
    <tableColumn id="13" name="30" dataDxfId="43"/>
    <tableColumn id="14" name="70" dataDxfId="42"/>
    <tableColumn id="15" name="209" dataDxfId="41"/>
    <tableColumn id="16" name="2010" dataDxfId="40"/>
    <tableColumn id="17" name="2011" dataDxfId="39"/>
    <tableColumn id="18" name="2012" dataDxfId="38"/>
    <tableColumn id="19" name="202" dataDxfId="37"/>
    <tableColumn id="20" name="2014" dataDxfId="36"/>
    <tableColumn id="21" name="2015" dataDxfId="35"/>
    <tableColumn id="22" name="2016" dataDxfId="34"/>
    <tableColumn id="23" name="100" dataDxfId="33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id="10" name="Tableau47811" displayName="Tableau47811" ref="A3:W5" totalsRowShown="0" headerRowDxfId="24" tableBorderDxfId="23">
  <autoFilter ref="A3:W5"/>
  <tableColumns count="23">
    <tableColumn id="1" name="NOM" dataDxfId="22"/>
    <tableColumn id="2" name="POST NOM" dataDxfId="21"/>
    <tableColumn id="3" name="80" dataDxfId="20"/>
    <tableColumn id="4" name="20" dataDxfId="19"/>
    <tableColumn id="5" name="40" dataDxfId="18"/>
    <tableColumn id="6" name="202" dataDxfId="17"/>
    <tableColumn id="7" name="203" dataDxfId="16"/>
    <tableColumn id="8" name="204" dataDxfId="15"/>
    <tableColumn id="9" name="205" dataDxfId="14"/>
    <tableColumn id="10" name="206" dataDxfId="13"/>
    <tableColumn id="11" name="207" dataDxfId="12"/>
    <tableColumn id="12" name="208" dataDxfId="11"/>
    <tableColumn id="13" name="60" dataDxfId="10"/>
    <tableColumn id="14" name="140" dataDxfId="9"/>
    <tableColumn id="15" name="402" dataDxfId="8"/>
    <tableColumn id="16" name="403" dataDxfId="7"/>
    <tableColumn id="17" name="404" dataDxfId="6"/>
    <tableColumn id="18" name="405" dataDxfId="5"/>
    <tableColumn id="19" name="406" dataDxfId="4"/>
    <tableColumn id="20" name="407" dataDxfId="3"/>
    <tableColumn id="21" name="408" dataDxfId="2"/>
    <tableColumn id="22" name="409" dataDxfId="1"/>
    <tableColumn id="23" name="100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C000"/>
        </a:solidFill>
      </a:spPr>
      <a:bodyPr vertOverflow="clip" horzOverflow="clip" rtlCol="0" anchor="t"/>
      <a:lstStyle>
        <a:defPPr algn="ctr">
          <a:defRPr sz="1050">
            <a:solidFill>
              <a:schemeClr val="tx1"/>
            </a:solidFill>
            <a:latin typeface="Berlin Sans FB" panose="020E0602020502020306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FFC000"/>
  </sheetPr>
  <dimension ref="A1:Z55"/>
  <sheetViews>
    <sheetView showGridLines="0" tabSelected="1" showWhiteSpace="0" view="pageLayout" zoomScaleNormal="100" workbookViewId="0">
      <selection activeCell="Y6" sqref="Y6"/>
    </sheetView>
  </sheetViews>
  <sheetFormatPr baseColWidth="10" defaultRowHeight="15" x14ac:dyDescent="0.25"/>
  <cols>
    <col min="1" max="1" width="8.42578125" style="28" customWidth="1"/>
    <col min="2" max="2" width="7.85546875" style="28" customWidth="1"/>
    <col min="3" max="3" width="2.42578125" style="28" hidden="1" customWidth="1"/>
    <col min="4" max="4" width="4.85546875" style="28" customWidth="1"/>
    <col min="5" max="5" width="4.42578125" style="28" customWidth="1"/>
    <col min="6" max="6" width="4.7109375" style="28" customWidth="1"/>
    <col min="7" max="7" width="4.42578125" style="28" bestFit="1" customWidth="1"/>
    <col min="8" max="8" width="5.7109375" style="28" customWidth="1"/>
    <col min="9" max="10" width="4.7109375" style="28" customWidth="1"/>
    <col min="11" max="11" width="4.85546875" style="28" customWidth="1"/>
    <col min="12" max="12" width="4" style="28" customWidth="1"/>
    <col min="13" max="13" width="4.140625" style="28" customWidth="1"/>
    <col min="14" max="14" width="5.28515625" style="28" customWidth="1"/>
    <col min="15" max="15" width="4" style="28" customWidth="1"/>
    <col min="16" max="16" width="4.7109375" style="28" customWidth="1"/>
    <col min="17" max="17" width="4.140625" style="28" customWidth="1"/>
    <col min="18" max="18" width="4.7109375" style="28" customWidth="1"/>
    <col min="19" max="19" width="4.140625" style="28" customWidth="1"/>
    <col min="20" max="20" width="1.85546875" style="28" customWidth="1"/>
    <col min="21" max="21" width="2.85546875" style="28" customWidth="1"/>
    <col min="22" max="22" width="8.7109375" style="28" customWidth="1"/>
    <col min="23" max="23" width="2.85546875" style="28" customWidth="1"/>
    <col min="24" max="16384" width="11.42578125" style="28"/>
  </cols>
  <sheetData>
    <row r="1" spans="1:26" x14ac:dyDescent="0.25">
      <c r="A1" s="25" t="s">
        <v>21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7"/>
    </row>
    <row r="2" spans="1:26" x14ac:dyDescent="0.25">
      <c r="A2" s="29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1"/>
    </row>
    <row r="3" spans="1:26" x14ac:dyDescent="0.25">
      <c r="A3" s="29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1"/>
    </row>
    <row r="4" spans="1:26" x14ac:dyDescent="0.25">
      <c r="A4" s="29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1"/>
    </row>
    <row r="5" spans="1:26" x14ac:dyDescent="0.25">
      <c r="A5" s="29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1"/>
    </row>
    <row r="6" spans="1:26" x14ac:dyDescent="0.25">
      <c r="A6" s="29"/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1"/>
    </row>
    <row r="7" spans="1:26" x14ac:dyDescent="0.25">
      <c r="A7" s="29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1"/>
    </row>
    <row r="8" spans="1:26" x14ac:dyDescent="0.25">
      <c r="A8" s="29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1"/>
    </row>
    <row r="9" spans="1:26" x14ac:dyDescent="0.25">
      <c r="A9" s="29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1"/>
    </row>
    <row r="10" spans="1:26" ht="9" customHeight="1" thickBot="1" x14ac:dyDescent="0.3">
      <c r="A10" s="29"/>
      <c r="B10" s="30"/>
      <c r="C10" s="30"/>
      <c r="D10" s="30"/>
      <c r="E10" s="30"/>
      <c r="F10" s="30"/>
      <c r="G10" s="30"/>
      <c r="H10" s="30"/>
      <c r="I10" s="30"/>
      <c r="J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1"/>
      <c r="Z10" s="32"/>
    </row>
    <row r="11" spans="1:26" ht="12" customHeight="1" thickBot="1" x14ac:dyDescent="0.3">
      <c r="A11" s="180" t="s">
        <v>38</v>
      </c>
      <c r="B11" s="181"/>
      <c r="C11" s="33"/>
      <c r="D11" s="189" t="s">
        <v>0</v>
      </c>
      <c r="E11" s="190"/>
      <c r="F11" s="190"/>
      <c r="G11" s="190"/>
      <c r="H11" s="190"/>
      <c r="I11" s="190"/>
      <c r="J11" s="191"/>
      <c r="K11" s="189" t="s">
        <v>70</v>
      </c>
      <c r="L11" s="190"/>
      <c r="M11" s="190"/>
      <c r="N11" s="190"/>
      <c r="O11" s="190"/>
      <c r="P11" s="190"/>
      <c r="Q11" s="190"/>
      <c r="R11" s="190"/>
      <c r="S11" s="191"/>
      <c r="T11" s="34"/>
      <c r="U11" s="159" t="s">
        <v>66</v>
      </c>
      <c r="V11" s="160"/>
    </row>
    <row r="12" spans="1:26" ht="24.75" customHeight="1" thickBot="1" x14ac:dyDescent="0.3">
      <c r="A12" s="182"/>
      <c r="B12" s="183"/>
      <c r="C12" s="35"/>
      <c r="D12" s="192" t="s">
        <v>31</v>
      </c>
      <c r="E12" s="201" t="s">
        <v>32</v>
      </c>
      <c r="F12" s="202"/>
      <c r="G12" s="198" t="s">
        <v>33</v>
      </c>
      <c r="H12" s="199"/>
      <c r="I12" s="198" t="s">
        <v>34</v>
      </c>
      <c r="J12" s="199"/>
      <c r="K12" s="192" t="s">
        <v>31</v>
      </c>
      <c r="L12" s="201" t="s">
        <v>32</v>
      </c>
      <c r="M12" s="202"/>
      <c r="N12" s="198" t="s">
        <v>33</v>
      </c>
      <c r="O12" s="199"/>
      <c r="P12" s="194" t="s">
        <v>34</v>
      </c>
      <c r="Q12" s="195"/>
      <c r="R12" s="194" t="s">
        <v>35</v>
      </c>
      <c r="S12" s="195"/>
      <c r="T12" s="34"/>
      <c r="U12" s="161"/>
      <c r="V12" s="162"/>
      <c r="Y12" s="36"/>
      <c r="Z12" s="36"/>
    </row>
    <row r="13" spans="1:26" ht="17.25" customHeight="1" thickBot="1" x14ac:dyDescent="0.3">
      <c r="A13" s="184"/>
      <c r="B13" s="185"/>
      <c r="C13" s="35"/>
      <c r="D13" s="193"/>
      <c r="E13" s="37" t="s">
        <v>68</v>
      </c>
      <c r="F13" s="37" t="s">
        <v>69</v>
      </c>
      <c r="G13" s="193"/>
      <c r="H13" s="200"/>
      <c r="I13" s="193"/>
      <c r="J13" s="200"/>
      <c r="K13" s="193"/>
      <c r="L13" s="37" t="s">
        <v>71</v>
      </c>
      <c r="M13" s="37" t="s">
        <v>72</v>
      </c>
      <c r="N13" s="193"/>
      <c r="O13" s="200"/>
      <c r="P13" s="196"/>
      <c r="Q13" s="197"/>
      <c r="R13" s="196"/>
      <c r="S13" s="197"/>
      <c r="T13" s="34"/>
      <c r="U13" s="38" t="s">
        <v>12</v>
      </c>
      <c r="V13" s="39" t="s">
        <v>67</v>
      </c>
    </row>
    <row r="14" spans="1:26" ht="12.75" customHeight="1" thickBot="1" x14ac:dyDescent="0.3">
      <c r="A14" s="177" t="s">
        <v>36</v>
      </c>
      <c r="B14" s="178"/>
      <c r="C14" s="178"/>
      <c r="D14" s="178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  <c r="R14" s="178"/>
      <c r="S14" s="179"/>
      <c r="T14" s="34"/>
      <c r="U14" s="34"/>
      <c r="V14" s="40"/>
    </row>
    <row r="15" spans="1:26" ht="13.5" customHeight="1" thickBot="1" x14ac:dyDescent="0.3">
      <c r="A15" s="177" t="s">
        <v>37</v>
      </c>
      <c r="B15" s="178"/>
      <c r="C15" s="178"/>
      <c r="D15" s="178"/>
      <c r="E15" s="178"/>
      <c r="F15" s="178"/>
      <c r="G15" s="178"/>
      <c r="H15" s="178"/>
      <c r="I15" s="178"/>
      <c r="J15" s="178"/>
      <c r="K15" s="178"/>
      <c r="L15" s="178"/>
      <c r="M15" s="178"/>
      <c r="N15" s="178"/>
      <c r="O15" s="178"/>
      <c r="P15" s="178"/>
      <c r="Q15" s="178"/>
      <c r="R15" s="178"/>
      <c r="S15" s="179"/>
      <c r="T15" s="41"/>
      <c r="U15" s="41"/>
      <c r="V15" s="42"/>
    </row>
    <row r="16" spans="1:26" ht="12.75" customHeight="1" x14ac:dyDescent="0.25">
      <c r="A16" s="143" t="s">
        <v>39</v>
      </c>
      <c r="B16" s="144"/>
      <c r="C16" s="71"/>
      <c r="D16" s="145">
        <v>40</v>
      </c>
      <c r="E16" s="146"/>
      <c r="F16" s="146"/>
      <c r="G16" s="145">
        <v>80</v>
      </c>
      <c r="H16" s="23"/>
      <c r="I16" s="145">
        <v>160</v>
      </c>
      <c r="J16" s="92">
        <f>SUM(E16:F16,H16)</f>
        <v>0</v>
      </c>
      <c r="K16" s="145">
        <v>40</v>
      </c>
      <c r="L16" s="146">
        <v>41</v>
      </c>
      <c r="M16" s="146">
        <v>41</v>
      </c>
      <c r="N16" s="145">
        <v>80</v>
      </c>
      <c r="O16" s="23">
        <v>39</v>
      </c>
      <c r="P16" s="145">
        <v>160</v>
      </c>
      <c r="Q16" s="92">
        <v>15</v>
      </c>
      <c r="R16" s="145">
        <v>320</v>
      </c>
      <c r="S16" s="147">
        <f>SUM(J16,Q16)</f>
        <v>15</v>
      </c>
      <c r="T16" s="205"/>
      <c r="U16" s="44"/>
      <c r="V16" s="44"/>
    </row>
    <row r="17" spans="1:24" ht="12.75" customHeight="1" x14ac:dyDescent="0.25">
      <c r="A17" s="45" t="s">
        <v>40</v>
      </c>
      <c r="B17" s="46"/>
      <c r="C17" s="47"/>
      <c r="D17" s="43">
        <v>10</v>
      </c>
      <c r="E17" s="11"/>
      <c r="F17" s="11"/>
      <c r="G17" s="43">
        <v>20</v>
      </c>
      <c r="H17" s="23"/>
      <c r="I17" s="43">
        <v>40</v>
      </c>
      <c r="J17" s="87">
        <v>25</v>
      </c>
      <c r="K17" s="43">
        <v>10</v>
      </c>
      <c r="L17" s="11">
        <v>1</v>
      </c>
      <c r="M17" s="11">
        <v>1</v>
      </c>
      <c r="N17" s="43">
        <v>20</v>
      </c>
      <c r="O17" s="23">
        <v>5</v>
      </c>
      <c r="P17" s="43">
        <v>40</v>
      </c>
      <c r="Q17" s="87">
        <f>SUM(L17:M17,O17)</f>
        <v>7</v>
      </c>
      <c r="R17" s="43">
        <v>80</v>
      </c>
      <c r="S17" s="91">
        <f t="shared" ref="S17:S19" si="0">SUM(J17,Q17)</f>
        <v>32</v>
      </c>
      <c r="T17" s="206"/>
      <c r="U17" s="44"/>
      <c r="V17" s="44"/>
    </row>
    <row r="18" spans="1:24" ht="12.75" customHeight="1" x14ac:dyDescent="0.25">
      <c r="A18" s="215" t="s">
        <v>41</v>
      </c>
      <c r="B18" s="216"/>
      <c r="C18" s="48"/>
      <c r="D18" s="43">
        <v>20</v>
      </c>
      <c r="E18" s="23"/>
      <c r="F18" s="23"/>
      <c r="G18" s="43">
        <v>40</v>
      </c>
      <c r="H18" s="11"/>
      <c r="I18" s="43">
        <v>80</v>
      </c>
      <c r="J18" s="88">
        <f>SUM(E18:F18,H18)</f>
        <v>0</v>
      </c>
      <c r="K18" s="43">
        <v>20</v>
      </c>
      <c r="L18" s="23">
        <v>9</v>
      </c>
      <c r="M18" s="23">
        <v>21</v>
      </c>
      <c r="N18" s="43">
        <v>40</v>
      </c>
      <c r="O18" s="11">
        <v>19</v>
      </c>
      <c r="P18" s="43">
        <v>80</v>
      </c>
      <c r="Q18" s="90">
        <v>1</v>
      </c>
      <c r="R18" s="43">
        <v>160</v>
      </c>
      <c r="S18" s="86">
        <f t="shared" si="0"/>
        <v>1</v>
      </c>
      <c r="T18" s="206"/>
      <c r="U18" s="50"/>
      <c r="V18" s="51"/>
    </row>
    <row r="19" spans="1:24" ht="12.75" customHeight="1" x14ac:dyDescent="0.3">
      <c r="A19" s="215" t="s">
        <v>74</v>
      </c>
      <c r="B19" s="216"/>
      <c r="C19" s="52"/>
      <c r="D19" s="43">
        <v>10</v>
      </c>
      <c r="E19" s="11"/>
      <c r="F19" s="11"/>
      <c r="G19" s="43">
        <v>20</v>
      </c>
      <c r="H19" s="23"/>
      <c r="I19" s="43">
        <v>40</v>
      </c>
      <c r="J19" s="87">
        <v>1</v>
      </c>
      <c r="K19" s="43">
        <v>10</v>
      </c>
      <c r="L19" s="11">
        <v>1</v>
      </c>
      <c r="M19" s="11">
        <v>1</v>
      </c>
      <c r="N19" s="43">
        <v>20</v>
      </c>
      <c r="O19" s="23">
        <v>9</v>
      </c>
      <c r="P19" s="43">
        <v>40</v>
      </c>
      <c r="Q19" s="87">
        <f t="shared" ref="Q19" si="1">SUM(L19:M19,O19)</f>
        <v>11</v>
      </c>
      <c r="R19" s="43">
        <v>80</v>
      </c>
      <c r="S19" s="91">
        <f t="shared" si="0"/>
        <v>12</v>
      </c>
      <c r="T19" s="206"/>
      <c r="U19" s="203"/>
      <c r="V19" s="204"/>
    </row>
    <row r="20" spans="1:24" ht="12.75" customHeight="1" thickBot="1" x14ac:dyDescent="0.3">
      <c r="A20" s="53" t="s">
        <v>42</v>
      </c>
      <c r="B20" s="54"/>
      <c r="C20" s="55"/>
      <c r="D20" s="43">
        <v>80</v>
      </c>
      <c r="E20" s="89">
        <f>SUM(E16:E19)</f>
        <v>0</v>
      </c>
      <c r="F20" s="89">
        <f>SUM(F16:F19)</f>
        <v>0</v>
      </c>
      <c r="G20" s="43">
        <v>160</v>
      </c>
      <c r="H20" s="89">
        <f>SUM(H16:H19)</f>
        <v>0</v>
      </c>
      <c r="I20" s="43">
        <v>320</v>
      </c>
      <c r="J20" s="89">
        <f>SUM(J16:J19)</f>
        <v>26</v>
      </c>
      <c r="K20" s="43">
        <v>80</v>
      </c>
      <c r="L20" s="89">
        <f>SUM(L16:L19)</f>
        <v>52</v>
      </c>
      <c r="M20" s="89">
        <f>SUM(M16:M19)</f>
        <v>64</v>
      </c>
      <c r="N20" s="43">
        <v>160</v>
      </c>
      <c r="O20" s="89">
        <f>SUM(O16:O19)</f>
        <v>72</v>
      </c>
      <c r="P20" s="43">
        <v>320</v>
      </c>
      <c r="Q20" s="89">
        <f>SUM(Q16:Q19)</f>
        <v>34</v>
      </c>
      <c r="R20" s="43">
        <v>640</v>
      </c>
      <c r="S20" s="89">
        <f>SUM(S16:S19)</f>
        <v>60</v>
      </c>
      <c r="T20" s="206"/>
      <c r="U20" s="56"/>
      <c r="V20" s="56"/>
    </row>
    <row r="21" spans="1:24" ht="13.5" customHeight="1" thickBot="1" x14ac:dyDescent="0.3">
      <c r="A21" s="186" t="s">
        <v>43</v>
      </c>
      <c r="B21" s="187"/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8"/>
      <c r="T21" s="206"/>
      <c r="U21" s="57"/>
      <c r="V21" s="57"/>
    </row>
    <row r="22" spans="1:24" ht="12.75" customHeight="1" x14ac:dyDescent="0.25">
      <c r="A22" s="217" t="s">
        <v>44</v>
      </c>
      <c r="B22" s="218"/>
      <c r="C22" s="58"/>
      <c r="D22" s="145">
        <v>10</v>
      </c>
      <c r="E22" s="59"/>
      <c r="F22" s="59"/>
      <c r="G22" s="145">
        <v>20</v>
      </c>
      <c r="H22" s="23"/>
      <c r="I22" s="145">
        <v>40</v>
      </c>
      <c r="J22" s="92">
        <v>40</v>
      </c>
      <c r="K22" s="145">
        <v>10</v>
      </c>
      <c r="L22" s="23">
        <v>11</v>
      </c>
      <c r="M22" s="23">
        <v>10</v>
      </c>
      <c r="N22" s="145">
        <v>20</v>
      </c>
      <c r="O22" s="23">
        <v>21</v>
      </c>
      <c r="P22" s="145">
        <v>40</v>
      </c>
      <c r="Q22" s="92">
        <f>SUM(L22:M22,O22)</f>
        <v>42</v>
      </c>
      <c r="R22" s="145">
        <v>80</v>
      </c>
      <c r="S22" s="91">
        <f>SUM(J22,Q22)</f>
        <v>82</v>
      </c>
      <c r="T22" s="206"/>
      <c r="U22" s="56"/>
      <c r="V22" s="56"/>
    </row>
    <row r="23" spans="1:24" ht="12.75" customHeight="1" x14ac:dyDescent="0.3">
      <c r="A23" s="219" t="s">
        <v>45</v>
      </c>
      <c r="B23" s="220"/>
      <c r="C23" s="60"/>
      <c r="D23" s="43">
        <v>10</v>
      </c>
      <c r="E23" s="49"/>
      <c r="F23" s="49"/>
      <c r="G23" s="43">
        <v>20</v>
      </c>
      <c r="H23" s="23"/>
      <c r="I23" s="43">
        <v>40</v>
      </c>
      <c r="J23" s="88">
        <v>45</v>
      </c>
      <c r="K23" s="43">
        <v>10</v>
      </c>
      <c r="L23" s="23">
        <v>11</v>
      </c>
      <c r="M23" s="23">
        <v>10</v>
      </c>
      <c r="N23" s="43">
        <v>20</v>
      </c>
      <c r="O23" s="23">
        <v>21</v>
      </c>
      <c r="P23" s="43">
        <v>40</v>
      </c>
      <c r="Q23" s="88">
        <f t="shared" ref="Q23" si="2">SUM(L23:M23,O23)</f>
        <v>42</v>
      </c>
      <c r="R23" s="43">
        <v>80</v>
      </c>
      <c r="S23" s="91">
        <f t="shared" ref="S23:S24" si="3">SUM(J23,Q23)</f>
        <v>87</v>
      </c>
      <c r="T23" s="206"/>
      <c r="U23" s="61"/>
      <c r="V23" s="61"/>
    </row>
    <row r="24" spans="1:24" ht="12.75" customHeight="1" x14ac:dyDescent="0.25">
      <c r="A24" s="213" t="s">
        <v>46</v>
      </c>
      <c r="B24" s="214"/>
      <c r="C24" s="62"/>
      <c r="D24" s="43">
        <v>10</v>
      </c>
      <c r="E24" s="23"/>
      <c r="F24" s="23"/>
      <c r="G24" s="43">
        <v>20</v>
      </c>
      <c r="H24" s="23"/>
      <c r="I24" s="43">
        <v>40</v>
      </c>
      <c r="J24" s="87">
        <v>45</v>
      </c>
      <c r="K24" s="43">
        <v>10</v>
      </c>
      <c r="L24" s="23">
        <v>4</v>
      </c>
      <c r="M24" s="23">
        <v>4</v>
      </c>
      <c r="N24" s="43">
        <v>20</v>
      </c>
      <c r="O24" s="23">
        <v>9</v>
      </c>
      <c r="P24" s="43">
        <v>40</v>
      </c>
      <c r="Q24" s="88">
        <v>40</v>
      </c>
      <c r="R24" s="43">
        <v>80</v>
      </c>
      <c r="S24" s="91">
        <f t="shared" si="3"/>
        <v>85</v>
      </c>
      <c r="T24" s="206"/>
      <c r="U24" s="56"/>
      <c r="V24" s="56"/>
    </row>
    <row r="25" spans="1:24" ht="12.75" customHeight="1" thickBot="1" x14ac:dyDescent="0.3">
      <c r="A25" s="225" t="s">
        <v>42</v>
      </c>
      <c r="B25" s="226"/>
      <c r="C25" s="148"/>
      <c r="D25" s="149">
        <v>30</v>
      </c>
      <c r="E25" s="150">
        <f>SUM(E22:E24)</f>
        <v>0</v>
      </c>
      <c r="F25" s="150">
        <f>SUM(F22:F24)</f>
        <v>0</v>
      </c>
      <c r="G25" s="149">
        <v>60</v>
      </c>
      <c r="H25" s="150">
        <f>SUM(H22:H24)</f>
        <v>0</v>
      </c>
      <c r="I25" s="149">
        <v>120</v>
      </c>
      <c r="J25" s="150">
        <f>SUM(J22:J24)</f>
        <v>130</v>
      </c>
      <c r="K25" s="149">
        <v>30</v>
      </c>
      <c r="L25" s="150">
        <f>SUM(L22:L24)</f>
        <v>26</v>
      </c>
      <c r="M25" s="150">
        <f>SUM(M22:M24)</f>
        <v>24</v>
      </c>
      <c r="N25" s="149">
        <v>60</v>
      </c>
      <c r="O25" s="150">
        <f>SUM(O22:O24)</f>
        <v>51</v>
      </c>
      <c r="P25" s="149">
        <v>120</v>
      </c>
      <c r="Q25" s="150">
        <f>SUM(Q22:Q24)</f>
        <v>124</v>
      </c>
      <c r="R25" s="149">
        <v>240</v>
      </c>
      <c r="S25" s="150">
        <f>SUM(S22:S24)</f>
        <v>254</v>
      </c>
      <c r="T25" s="206"/>
      <c r="U25" s="56"/>
      <c r="V25" s="56"/>
    </row>
    <row r="26" spans="1:24" ht="12" customHeight="1" thickBot="1" x14ac:dyDescent="0.3">
      <c r="A26" s="186" t="s">
        <v>47</v>
      </c>
      <c r="B26" s="187"/>
      <c r="C26" s="187"/>
      <c r="D26" s="187"/>
      <c r="E26" s="187"/>
      <c r="F26" s="187"/>
      <c r="G26" s="187"/>
      <c r="H26" s="187"/>
      <c r="I26" s="187"/>
      <c r="J26" s="187"/>
      <c r="K26" s="187"/>
      <c r="L26" s="187"/>
      <c r="M26" s="187"/>
      <c r="N26" s="187"/>
      <c r="O26" s="187"/>
      <c r="P26" s="187"/>
      <c r="Q26" s="187"/>
      <c r="R26" s="187"/>
      <c r="S26" s="188"/>
      <c r="T26" s="206"/>
      <c r="U26" s="57"/>
      <c r="V26" s="57"/>
    </row>
    <row r="27" spans="1:24" ht="12" customHeight="1" x14ac:dyDescent="0.25">
      <c r="A27" s="227" t="s">
        <v>48</v>
      </c>
      <c r="B27" s="228"/>
      <c r="C27" s="58"/>
      <c r="D27" s="145">
        <v>10</v>
      </c>
      <c r="E27" s="59"/>
      <c r="F27" s="59"/>
      <c r="G27" s="145">
        <v>20</v>
      </c>
      <c r="H27" s="23"/>
      <c r="I27" s="145">
        <v>40</v>
      </c>
      <c r="J27" s="92">
        <f>SUM(E27:F27,H27)</f>
        <v>0</v>
      </c>
      <c r="K27" s="145">
        <v>10</v>
      </c>
      <c r="L27" s="59">
        <v>11</v>
      </c>
      <c r="M27" s="59">
        <v>4</v>
      </c>
      <c r="N27" s="145">
        <v>20</v>
      </c>
      <c r="O27" s="23">
        <v>21</v>
      </c>
      <c r="P27" s="145">
        <v>40</v>
      </c>
      <c r="Q27" s="92">
        <f>SUM(L27:M27,O27)</f>
        <v>36</v>
      </c>
      <c r="R27" s="145">
        <v>80</v>
      </c>
      <c r="S27" s="91">
        <f>SUM(J27,Q27)</f>
        <v>36</v>
      </c>
      <c r="T27" s="207"/>
      <c r="U27" s="56"/>
      <c r="V27" s="56"/>
    </row>
    <row r="28" spans="1:24" ht="12" customHeight="1" x14ac:dyDescent="0.3">
      <c r="A28" s="213" t="s">
        <v>49</v>
      </c>
      <c r="B28" s="214"/>
      <c r="C28" s="63"/>
      <c r="D28" s="43">
        <v>10</v>
      </c>
      <c r="E28" s="59"/>
      <c r="F28" s="59"/>
      <c r="G28" s="43">
        <v>20</v>
      </c>
      <c r="H28" s="23"/>
      <c r="I28" s="43">
        <v>40</v>
      </c>
      <c r="J28" s="88">
        <f t="shared" ref="J28:J29" si="4">SUM(E28:F28,H28)</f>
        <v>0</v>
      </c>
      <c r="K28" s="43">
        <v>10</v>
      </c>
      <c r="L28" s="59">
        <v>15</v>
      </c>
      <c r="M28" s="59">
        <v>12</v>
      </c>
      <c r="N28" s="43">
        <v>20</v>
      </c>
      <c r="O28" s="23">
        <v>45</v>
      </c>
      <c r="P28" s="43">
        <v>40</v>
      </c>
      <c r="Q28" s="88">
        <f t="shared" ref="Q28:Q29" si="5">SUM(L28:M28,O28)</f>
        <v>72</v>
      </c>
      <c r="R28" s="43">
        <v>80</v>
      </c>
      <c r="S28" s="90">
        <f t="shared" ref="S28:S29" si="6">SUM(J28,Q28)</f>
        <v>72</v>
      </c>
      <c r="T28" s="207"/>
      <c r="U28" s="61"/>
      <c r="V28" s="61"/>
    </row>
    <row r="29" spans="1:24" ht="12" customHeight="1" x14ac:dyDescent="0.25">
      <c r="A29" s="211" t="s">
        <v>50</v>
      </c>
      <c r="B29" s="221"/>
      <c r="C29" s="62"/>
      <c r="D29" s="43">
        <v>10</v>
      </c>
      <c r="E29" s="59"/>
      <c r="F29" s="59"/>
      <c r="G29" s="43">
        <v>20</v>
      </c>
      <c r="H29" s="23"/>
      <c r="I29" s="43">
        <v>40</v>
      </c>
      <c r="J29" s="92">
        <f t="shared" si="4"/>
        <v>0</v>
      </c>
      <c r="K29" s="43">
        <v>10</v>
      </c>
      <c r="L29" s="59">
        <v>11</v>
      </c>
      <c r="M29" s="59">
        <v>15</v>
      </c>
      <c r="N29" s="43">
        <v>20</v>
      </c>
      <c r="O29" s="23">
        <v>21</v>
      </c>
      <c r="P29" s="43">
        <v>40</v>
      </c>
      <c r="Q29" s="87">
        <f t="shared" si="5"/>
        <v>47</v>
      </c>
      <c r="R29" s="43">
        <v>80</v>
      </c>
      <c r="S29" s="90">
        <f t="shared" si="6"/>
        <v>47</v>
      </c>
      <c r="T29" s="207"/>
      <c r="U29" s="56"/>
      <c r="V29" s="56"/>
    </row>
    <row r="30" spans="1:24" ht="12" customHeight="1" thickBot="1" x14ac:dyDescent="0.3">
      <c r="A30" s="225" t="s">
        <v>42</v>
      </c>
      <c r="B30" s="226"/>
      <c r="C30" s="148"/>
      <c r="D30" s="149">
        <v>30</v>
      </c>
      <c r="E30" s="150">
        <f>SUM(E27:E29)</f>
        <v>0</v>
      </c>
      <c r="F30" s="150">
        <f>SUM(F27:F29)</f>
        <v>0</v>
      </c>
      <c r="G30" s="149">
        <v>60</v>
      </c>
      <c r="H30" s="150">
        <f>SUM(H27:H29)</f>
        <v>0</v>
      </c>
      <c r="I30" s="149">
        <v>120</v>
      </c>
      <c r="J30" s="150">
        <f>SUM(J27:J29)</f>
        <v>0</v>
      </c>
      <c r="K30" s="149">
        <v>30</v>
      </c>
      <c r="L30" s="150">
        <f>SUM(L27:L29)</f>
        <v>37</v>
      </c>
      <c r="M30" s="150">
        <v>35</v>
      </c>
      <c r="N30" s="149">
        <v>60</v>
      </c>
      <c r="O30" s="150">
        <f>SUM(O27:O29)</f>
        <v>87</v>
      </c>
      <c r="P30" s="149">
        <v>120</v>
      </c>
      <c r="Q30" s="150">
        <f>SUM(Q27:Q29)</f>
        <v>155</v>
      </c>
      <c r="R30" s="149">
        <v>240</v>
      </c>
      <c r="S30" s="150">
        <f>SUM(S27:S29)</f>
        <v>155</v>
      </c>
      <c r="T30" s="207"/>
      <c r="U30" s="56"/>
      <c r="V30" s="56"/>
      <c r="X30" s="64"/>
    </row>
    <row r="31" spans="1:24" ht="12" customHeight="1" thickBot="1" x14ac:dyDescent="0.3">
      <c r="A31" s="186" t="s">
        <v>51</v>
      </c>
      <c r="B31" s="187"/>
      <c r="C31" s="187"/>
      <c r="D31" s="187"/>
      <c r="E31" s="187"/>
      <c r="F31" s="187"/>
      <c r="G31" s="187"/>
      <c r="H31" s="187"/>
      <c r="I31" s="187"/>
      <c r="J31" s="187"/>
      <c r="K31" s="187"/>
      <c r="L31" s="187"/>
      <c r="M31" s="187"/>
      <c r="N31" s="187"/>
      <c r="O31" s="187"/>
      <c r="P31" s="187"/>
      <c r="Q31" s="187"/>
      <c r="R31" s="187"/>
      <c r="S31" s="188"/>
      <c r="T31" s="206"/>
      <c r="U31" s="57"/>
      <c r="V31" s="57"/>
    </row>
    <row r="32" spans="1:24" ht="12.75" customHeight="1" x14ac:dyDescent="0.25">
      <c r="A32" s="217" t="s">
        <v>52</v>
      </c>
      <c r="B32" s="218"/>
      <c r="C32" s="58"/>
      <c r="D32" s="145">
        <v>30</v>
      </c>
      <c r="E32" s="59"/>
      <c r="F32" s="59"/>
      <c r="G32" s="145">
        <v>60</v>
      </c>
      <c r="H32" s="59"/>
      <c r="I32" s="145">
        <v>120</v>
      </c>
      <c r="J32" s="92">
        <f>SUM(E32:F32,H32)</f>
        <v>0</v>
      </c>
      <c r="K32" s="145">
        <v>30</v>
      </c>
      <c r="L32" s="59">
        <v>31</v>
      </c>
      <c r="M32" s="59">
        <v>31</v>
      </c>
      <c r="N32" s="145">
        <v>60</v>
      </c>
      <c r="O32" s="59">
        <v>61</v>
      </c>
      <c r="P32" s="145">
        <v>120</v>
      </c>
      <c r="Q32" s="92">
        <f>SUM(L32:M32,O32)</f>
        <v>123</v>
      </c>
      <c r="R32" s="145">
        <v>240</v>
      </c>
      <c r="S32" s="92">
        <f>SUM(J32,Q32)</f>
        <v>123</v>
      </c>
      <c r="T32" s="206"/>
      <c r="U32" s="56"/>
      <c r="V32" s="56"/>
    </row>
    <row r="33" spans="1:22" ht="12.75" customHeight="1" x14ac:dyDescent="0.3">
      <c r="A33" s="213" t="s">
        <v>20</v>
      </c>
      <c r="B33" s="214"/>
      <c r="C33" s="63"/>
      <c r="D33" s="43">
        <v>70</v>
      </c>
      <c r="E33" s="23"/>
      <c r="F33" s="23"/>
      <c r="G33" s="43">
        <v>140</v>
      </c>
      <c r="H33" s="23"/>
      <c r="I33" s="43">
        <v>280</v>
      </c>
      <c r="J33" s="91">
        <f>SUM(E33:F33,H33)</f>
        <v>0</v>
      </c>
      <c r="K33" s="43">
        <v>70</v>
      </c>
      <c r="L33" s="11">
        <v>71</v>
      </c>
      <c r="M33" s="11">
        <v>71</v>
      </c>
      <c r="N33" s="43">
        <v>140</v>
      </c>
      <c r="O33" s="22">
        <v>141</v>
      </c>
      <c r="P33" s="43">
        <v>280</v>
      </c>
      <c r="Q33" s="91">
        <f>SUM(L33:M33,O33)</f>
        <v>283</v>
      </c>
      <c r="R33" s="43">
        <v>560</v>
      </c>
      <c r="S33" s="93">
        <f>SUM(J33,Q33)</f>
        <v>283</v>
      </c>
      <c r="T33" s="207"/>
      <c r="U33" s="61"/>
      <c r="V33" s="61"/>
    </row>
    <row r="34" spans="1:22" ht="12.75" customHeight="1" thickBot="1" x14ac:dyDescent="0.3">
      <c r="A34" s="222" t="s">
        <v>42</v>
      </c>
      <c r="B34" s="223"/>
      <c r="C34" s="148"/>
      <c r="D34" s="149">
        <v>100</v>
      </c>
      <c r="E34" s="150">
        <f>SUM(E32:E33)</f>
        <v>0</v>
      </c>
      <c r="F34" s="150">
        <f>SUM(F32:F33)</f>
        <v>0</v>
      </c>
      <c r="G34" s="149">
        <v>200</v>
      </c>
      <c r="H34" s="150">
        <f>SUM(H32:H33)</f>
        <v>0</v>
      </c>
      <c r="I34" s="149">
        <v>400</v>
      </c>
      <c r="J34" s="150">
        <f>SUM(J32:J33)</f>
        <v>0</v>
      </c>
      <c r="K34" s="149">
        <v>100</v>
      </c>
      <c r="L34" s="150">
        <f>SUM(L32:L33)</f>
        <v>102</v>
      </c>
      <c r="M34" s="150">
        <f>SUM(M32:M33)</f>
        <v>102</v>
      </c>
      <c r="N34" s="149">
        <v>200</v>
      </c>
      <c r="O34" s="150">
        <f>SUM(O32:O33)</f>
        <v>202</v>
      </c>
      <c r="P34" s="149">
        <v>400</v>
      </c>
      <c r="Q34" s="150">
        <f>SUM(Q32:Q33)</f>
        <v>406</v>
      </c>
      <c r="R34" s="149">
        <v>800</v>
      </c>
      <c r="S34" s="150">
        <f>SUM(S32:S33)</f>
        <v>406</v>
      </c>
      <c r="T34" s="207"/>
      <c r="U34" s="56"/>
      <c r="V34" s="56"/>
    </row>
    <row r="35" spans="1:22" ht="12.75" customHeight="1" thickBot="1" x14ac:dyDescent="0.3">
      <c r="A35" s="186" t="s">
        <v>53</v>
      </c>
      <c r="B35" s="209"/>
      <c r="C35" s="209"/>
      <c r="D35" s="209"/>
      <c r="E35" s="209"/>
      <c r="F35" s="209"/>
      <c r="G35" s="209"/>
      <c r="H35" s="209"/>
      <c r="I35" s="209"/>
      <c r="J35" s="209"/>
      <c r="K35" s="209"/>
      <c r="L35" s="209"/>
      <c r="M35" s="209"/>
      <c r="N35" s="209"/>
      <c r="O35" s="209"/>
      <c r="P35" s="209"/>
      <c r="Q35" s="209"/>
      <c r="R35" s="209"/>
      <c r="S35" s="210"/>
      <c r="T35" s="206"/>
      <c r="U35" s="65"/>
      <c r="V35" s="65"/>
    </row>
    <row r="36" spans="1:22" ht="13.5" customHeight="1" x14ac:dyDescent="0.25">
      <c r="A36" s="217" t="s">
        <v>58</v>
      </c>
      <c r="B36" s="224"/>
      <c r="C36" s="151"/>
      <c r="D36" s="145">
        <v>20</v>
      </c>
      <c r="E36" s="23"/>
      <c r="F36" s="23"/>
      <c r="G36" s="145">
        <v>40</v>
      </c>
      <c r="H36" s="59"/>
      <c r="I36" s="145">
        <v>80</v>
      </c>
      <c r="J36" s="91">
        <f>SUM(E36:F36,H36)</f>
        <v>0</v>
      </c>
      <c r="K36" s="145">
        <v>20</v>
      </c>
      <c r="L36" s="23">
        <v>21</v>
      </c>
      <c r="M36" s="23">
        <v>22</v>
      </c>
      <c r="N36" s="145">
        <v>40</v>
      </c>
      <c r="O36" s="59">
        <v>41</v>
      </c>
      <c r="P36" s="145">
        <v>80</v>
      </c>
      <c r="Q36" s="91">
        <f>SUM(L36:M36,O36)</f>
        <v>84</v>
      </c>
      <c r="R36" s="145">
        <v>160</v>
      </c>
      <c r="S36" s="92">
        <f>SUM(J36,Q36)</f>
        <v>84</v>
      </c>
      <c r="T36" s="207"/>
      <c r="U36" s="61"/>
      <c r="V36" s="61"/>
    </row>
    <row r="37" spans="1:22" ht="13.5" customHeight="1" x14ac:dyDescent="0.25">
      <c r="A37" s="213" t="s">
        <v>57</v>
      </c>
      <c r="B37" s="214"/>
      <c r="C37" s="24"/>
      <c r="D37" s="43">
        <v>20</v>
      </c>
      <c r="E37" s="23"/>
      <c r="F37" s="23"/>
      <c r="G37" s="43">
        <v>40</v>
      </c>
      <c r="H37" s="49"/>
      <c r="I37" s="43">
        <v>80</v>
      </c>
      <c r="J37" s="90">
        <f t="shared" ref="J37:J40" si="7">SUM(E37:F37,H37)</f>
        <v>0</v>
      </c>
      <c r="K37" s="43">
        <v>20</v>
      </c>
      <c r="L37" s="23">
        <v>21</v>
      </c>
      <c r="M37" s="23">
        <v>25</v>
      </c>
      <c r="N37" s="43">
        <v>40</v>
      </c>
      <c r="O37" s="49"/>
      <c r="P37" s="43">
        <v>80</v>
      </c>
      <c r="Q37" s="90">
        <v>80</v>
      </c>
      <c r="R37" s="43">
        <v>160</v>
      </c>
      <c r="S37" s="86">
        <f t="shared" ref="S37:S40" si="8">SUM(J37,Q37)</f>
        <v>80</v>
      </c>
      <c r="T37" s="207"/>
      <c r="U37" s="44"/>
      <c r="V37" s="44"/>
    </row>
    <row r="38" spans="1:22" ht="13.5" customHeight="1" x14ac:dyDescent="0.25">
      <c r="A38" s="211" t="s">
        <v>54</v>
      </c>
      <c r="B38" s="212"/>
      <c r="C38" s="11"/>
      <c r="D38" s="43">
        <v>20</v>
      </c>
      <c r="E38" s="23"/>
      <c r="F38" s="23"/>
      <c r="G38" s="43">
        <v>40</v>
      </c>
      <c r="H38" s="49"/>
      <c r="I38" s="43">
        <v>80</v>
      </c>
      <c r="J38" s="90">
        <f t="shared" si="7"/>
        <v>0</v>
      </c>
      <c r="K38" s="43">
        <v>20</v>
      </c>
      <c r="L38" s="23">
        <v>22</v>
      </c>
      <c r="M38" s="23">
        <v>18</v>
      </c>
      <c r="N38" s="43">
        <v>40</v>
      </c>
      <c r="O38" s="49">
        <v>41</v>
      </c>
      <c r="P38" s="43">
        <v>80</v>
      </c>
      <c r="Q38" s="90">
        <f t="shared" ref="Q38" si="9">SUM(L38:M38,O38)</f>
        <v>81</v>
      </c>
      <c r="R38" s="43">
        <v>160</v>
      </c>
      <c r="S38" s="86">
        <f t="shared" si="8"/>
        <v>81</v>
      </c>
      <c r="T38" s="207"/>
      <c r="U38" s="44"/>
      <c r="V38" s="44"/>
    </row>
    <row r="39" spans="1:22" ht="13.5" customHeight="1" x14ac:dyDescent="0.25">
      <c r="A39" s="213" t="s">
        <v>55</v>
      </c>
      <c r="B39" s="214"/>
      <c r="C39" s="11"/>
      <c r="D39" s="43">
        <v>20</v>
      </c>
      <c r="E39" s="23"/>
      <c r="F39" s="23"/>
      <c r="G39" s="43">
        <v>40</v>
      </c>
      <c r="H39" s="49"/>
      <c r="I39" s="43">
        <v>80</v>
      </c>
      <c r="J39" s="90">
        <f t="shared" si="7"/>
        <v>0</v>
      </c>
      <c r="K39" s="43">
        <v>20</v>
      </c>
      <c r="L39" s="23">
        <v>20</v>
      </c>
      <c r="M39" s="23">
        <v>11</v>
      </c>
      <c r="N39" s="43">
        <v>40</v>
      </c>
      <c r="O39" s="49"/>
      <c r="P39" s="43">
        <v>80</v>
      </c>
      <c r="Q39" s="90">
        <v>85</v>
      </c>
      <c r="R39" s="43">
        <v>160</v>
      </c>
      <c r="S39" s="86">
        <f t="shared" si="8"/>
        <v>85</v>
      </c>
      <c r="T39" s="207"/>
      <c r="U39" s="44"/>
      <c r="V39" s="44"/>
    </row>
    <row r="40" spans="1:22" ht="13.5" customHeight="1" x14ac:dyDescent="0.25">
      <c r="A40" s="213" t="s">
        <v>56</v>
      </c>
      <c r="B40" s="214"/>
      <c r="C40" s="11"/>
      <c r="D40" s="43">
        <v>20</v>
      </c>
      <c r="E40" s="23"/>
      <c r="F40" s="23"/>
      <c r="G40" s="43">
        <v>40</v>
      </c>
      <c r="H40" s="49"/>
      <c r="I40" s="43">
        <v>80</v>
      </c>
      <c r="J40" s="90">
        <f t="shared" si="7"/>
        <v>0</v>
      </c>
      <c r="K40" s="43">
        <v>20</v>
      </c>
      <c r="L40" s="23">
        <v>22</v>
      </c>
      <c r="M40" s="23">
        <v>25</v>
      </c>
      <c r="N40" s="43">
        <v>40</v>
      </c>
      <c r="O40" s="49">
        <v>19</v>
      </c>
      <c r="P40" s="43">
        <v>80</v>
      </c>
      <c r="Q40" s="90">
        <v>80</v>
      </c>
      <c r="R40" s="43">
        <v>160</v>
      </c>
      <c r="S40" s="86">
        <f t="shared" si="8"/>
        <v>80</v>
      </c>
      <c r="T40" s="207"/>
      <c r="U40" s="44"/>
      <c r="V40" s="44"/>
    </row>
    <row r="41" spans="1:22" ht="13.5" customHeight="1" thickBot="1" x14ac:dyDescent="0.3">
      <c r="A41" s="225" t="s">
        <v>42</v>
      </c>
      <c r="B41" s="226"/>
      <c r="C41" s="152"/>
      <c r="D41" s="149">
        <v>100</v>
      </c>
      <c r="E41" s="150">
        <f>SUM(E36:E40)</f>
        <v>0</v>
      </c>
      <c r="F41" s="150">
        <f>SUM(F36:F40)</f>
        <v>0</v>
      </c>
      <c r="G41" s="149">
        <v>200</v>
      </c>
      <c r="H41" s="150">
        <f>SUM(H36:H40)</f>
        <v>0</v>
      </c>
      <c r="I41" s="149">
        <v>400</v>
      </c>
      <c r="J41" s="150">
        <f>SUM(J36:J40)</f>
        <v>0</v>
      </c>
      <c r="K41" s="149">
        <v>100</v>
      </c>
      <c r="L41" s="150">
        <f>SUM(L36:L40)</f>
        <v>106</v>
      </c>
      <c r="M41" s="150">
        <f>SUM(M36:M40)</f>
        <v>101</v>
      </c>
      <c r="N41" s="149">
        <v>200</v>
      </c>
      <c r="O41" s="150">
        <f>SUM(O36:O40)</f>
        <v>101</v>
      </c>
      <c r="P41" s="149">
        <v>400</v>
      </c>
      <c r="Q41" s="150">
        <f>SUM(Q36:Q40)</f>
        <v>410</v>
      </c>
      <c r="R41" s="149">
        <v>800</v>
      </c>
      <c r="S41" s="150">
        <f>SUM(S36:S40)</f>
        <v>410</v>
      </c>
      <c r="T41" s="207"/>
      <c r="U41" s="44"/>
      <c r="V41" s="44"/>
    </row>
    <row r="42" spans="1:22" ht="12" customHeight="1" thickBot="1" x14ac:dyDescent="0.3">
      <c r="A42" s="186" t="s">
        <v>59</v>
      </c>
      <c r="B42" s="209"/>
      <c r="C42" s="209"/>
      <c r="D42" s="209"/>
      <c r="E42" s="209"/>
      <c r="F42" s="209"/>
      <c r="G42" s="209"/>
      <c r="H42" s="209"/>
      <c r="I42" s="209"/>
      <c r="J42" s="209"/>
      <c r="K42" s="209"/>
      <c r="L42" s="209"/>
      <c r="M42" s="209"/>
      <c r="N42" s="209"/>
      <c r="O42" s="209"/>
      <c r="P42" s="209"/>
      <c r="Q42" s="209"/>
      <c r="R42" s="209"/>
      <c r="S42" s="210"/>
      <c r="T42" s="208"/>
      <c r="U42" s="34"/>
      <c r="V42" s="40"/>
    </row>
    <row r="43" spans="1:22" ht="12" customHeight="1" x14ac:dyDescent="0.25">
      <c r="A43" s="217" t="s">
        <v>60</v>
      </c>
      <c r="B43" s="218"/>
      <c r="C43" s="58"/>
      <c r="D43" s="145">
        <v>20</v>
      </c>
      <c r="E43" s="23"/>
      <c r="F43" s="23"/>
      <c r="G43" s="145">
        <v>40</v>
      </c>
      <c r="H43" s="59"/>
      <c r="I43" s="145">
        <v>80</v>
      </c>
      <c r="J43" s="91">
        <f>SUM(E43:F43,H43)</f>
        <v>0</v>
      </c>
      <c r="K43" s="145">
        <v>20</v>
      </c>
      <c r="L43" s="23">
        <v>30</v>
      </c>
      <c r="M43" s="23">
        <v>30</v>
      </c>
      <c r="N43" s="145">
        <v>40</v>
      </c>
      <c r="O43" s="59">
        <v>55</v>
      </c>
      <c r="P43" s="145">
        <v>80</v>
      </c>
      <c r="Q43" s="91">
        <f>SUM(L43:M43,O43)</f>
        <v>115</v>
      </c>
      <c r="R43" s="145">
        <v>160</v>
      </c>
      <c r="S43" s="92">
        <f>SUM(J43,Q43)</f>
        <v>115</v>
      </c>
      <c r="T43" s="66"/>
      <c r="U43" s="44"/>
      <c r="V43" s="44"/>
    </row>
    <row r="44" spans="1:22" ht="12" customHeight="1" x14ac:dyDescent="0.25">
      <c r="A44" s="213" t="s">
        <v>61</v>
      </c>
      <c r="B44" s="214"/>
      <c r="C44" s="62"/>
      <c r="D44" s="43">
        <v>20</v>
      </c>
      <c r="E44" s="23"/>
      <c r="F44" s="23"/>
      <c r="G44" s="43">
        <v>40</v>
      </c>
      <c r="H44" s="49"/>
      <c r="I44" s="43">
        <v>80</v>
      </c>
      <c r="J44" s="90">
        <f>SUM(E44:F44,H44)</f>
        <v>0</v>
      </c>
      <c r="K44" s="43">
        <v>20</v>
      </c>
      <c r="L44" s="23">
        <v>30</v>
      </c>
      <c r="M44" s="23">
        <v>11</v>
      </c>
      <c r="N44" s="43">
        <v>40</v>
      </c>
      <c r="O44" s="49">
        <v>50</v>
      </c>
      <c r="P44" s="43">
        <v>80</v>
      </c>
      <c r="Q44" s="90">
        <f>SUM(L44:M44,O44)</f>
        <v>91</v>
      </c>
      <c r="R44" s="43">
        <v>160</v>
      </c>
      <c r="S44" s="86">
        <f>SUM(J44,Q44)</f>
        <v>91</v>
      </c>
      <c r="T44" s="34"/>
      <c r="U44" s="44"/>
      <c r="V44" s="44"/>
    </row>
    <row r="45" spans="1:22" ht="12" customHeight="1" thickBot="1" x14ac:dyDescent="0.3">
      <c r="A45" s="225" t="s">
        <v>42</v>
      </c>
      <c r="B45" s="226"/>
      <c r="C45" s="148"/>
      <c r="D45" s="149">
        <v>40</v>
      </c>
      <c r="E45" s="153">
        <f>SUM(E43:E44)</f>
        <v>0</v>
      </c>
      <c r="F45" s="153">
        <f>SUM(F43:F44)</f>
        <v>0</v>
      </c>
      <c r="G45" s="149">
        <v>80</v>
      </c>
      <c r="H45" s="150">
        <f>SUM(H43:H44)</f>
        <v>0</v>
      </c>
      <c r="I45" s="149">
        <v>160</v>
      </c>
      <c r="J45" s="150">
        <f>SUM(J43:J44)</f>
        <v>0</v>
      </c>
      <c r="K45" s="149">
        <v>40</v>
      </c>
      <c r="L45" s="153">
        <f>SUM(L43:L44)</f>
        <v>60</v>
      </c>
      <c r="M45" s="153">
        <f>SUM(M43:M44)</f>
        <v>41</v>
      </c>
      <c r="N45" s="149">
        <v>80</v>
      </c>
      <c r="O45" s="150">
        <f>SUM(O43:O44)</f>
        <v>105</v>
      </c>
      <c r="P45" s="149">
        <v>160</v>
      </c>
      <c r="Q45" s="150">
        <f>SUM(Q43:Q44)</f>
        <v>206</v>
      </c>
      <c r="R45" s="149">
        <v>320</v>
      </c>
      <c r="S45" s="150">
        <f>SUM(S43:S44)</f>
        <v>206</v>
      </c>
      <c r="T45" s="34"/>
      <c r="U45" s="44"/>
      <c r="V45" s="44"/>
    </row>
    <row r="46" spans="1:22" ht="12.75" customHeight="1" thickBot="1" x14ac:dyDescent="0.3">
      <c r="A46" s="186" t="s">
        <v>62</v>
      </c>
      <c r="B46" s="209"/>
      <c r="C46" s="209"/>
      <c r="D46" s="209"/>
      <c r="E46" s="209"/>
      <c r="F46" s="209"/>
      <c r="G46" s="209"/>
      <c r="H46" s="209"/>
      <c r="I46" s="209"/>
      <c r="J46" s="209"/>
      <c r="K46" s="209"/>
      <c r="L46" s="209"/>
      <c r="M46" s="209"/>
      <c r="N46" s="209"/>
      <c r="O46" s="209"/>
      <c r="P46" s="209"/>
      <c r="Q46" s="209"/>
      <c r="R46" s="209"/>
      <c r="S46" s="210"/>
      <c r="T46" s="34"/>
      <c r="U46" s="34"/>
      <c r="V46" s="40"/>
    </row>
    <row r="47" spans="1:22" ht="12.75" customHeight="1" x14ac:dyDescent="0.25">
      <c r="A47" s="227" t="s">
        <v>63</v>
      </c>
      <c r="B47" s="228"/>
      <c r="C47" s="58"/>
      <c r="D47" s="145">
        <v>20</v>
      </c>
      <c r="E47" s="23"/>
      <c r="F47" s="23"/>
      <c r="G47" s="145">
        <v>40</v>
      </c>
      <c r="H47" s="59"/>
      <c r="I47" s="145">
        <v>80</v>
      </c>
      <c r="J47" s="91">
        <v>10</v>
      </c>
      <c r="K47" s="145">
        <v>20</v>
      </c>
      <c r="L47" s="23">
        <v>21</v>
      </c>
      <c r="M47" s="23">
        <v>20</v>
      </c>
      <c r="N47" s="145">
        <v>40</v>
      </c>
      <c r="O47" s="59">
        <v>11</v>
      </c>
      <c r="P47" s="145">
        <v>80</v>
      </c>
      <c r="Q47" s="91">
        <f>SUM(L47:M47,O47)</f>
        <v>52</v>
      </c>
      <c r="R47" s="145">
        <v>160</v>
      </c>
      <c r="S47" s="92">
        <f>SUM(J47,Q47)</f>
        <v>62</v>
      </c>
      <c r="T47" s="67"/>
      <c r="U47" s="68"/>
      <c r="V47" s="44"/>
    </row>
    <row r="48" spans="1:22" ht="12.75" customHeight="1" x14ac:dyDescent="0.25">
      <c r="A48" s="229" t="s">
        <v>42</v>
      </c>
      <c r="B48" s="230"/>
      <c r="C48" s="62"/>
      <c r="D48" s="43">
        <v>20</v>
      </c>
      <c r="E48" s="91">
        <f>E47</f>
        <v>0</v>
      </c>
      <c r="F48" s="91">
        <f>F47</f>
        <v>0</v>
      </c>
      <c r="G48" s="43">
        <v>40</v>
      </c>
      <c r="H48" s="49">
        <f>H47</f>
        <v>0</v>
      </c>
      <c r="I48" s="100">
        <v>80</v>
      </c>
      <c r="J48" s="90">
        <f>J47</f>
        <v>10</v>
      </c>
      <c r="K48" s="43">
        <v>20</v>
      </c>
      <c r="L48" s="91">
        <f>L47</f>
        <v>21</v>
      </c>
      <c r="M48" s="91">
        <f>M47</f>
        <v>20</v>
      </c>
      <c r="N48" s="43">
        <v>40</v>
      </c>
      <c r="O48" s="88">
        <f>O47</f>
        <v>11</v>
      </c>
      <c r="P48" s="43">
        <v>80</v>
      </c>
      <c r="Q48" s="90">
        <f>Q47</f>
        <v>52</v>
      </c>
      <c r="R48" s="43">
        <v>160</v>
      </c>
      <c r="S48" s="86">
        <f>S47</f>
        <v>62</v>
      </c>
      <c r="T48" s="69"/>
      <c r="U48" s="68"/>
      <c r="V48" s="44"/>
    </row>
    <row r="49" spans="1:22" ht="12.75" customHeight="1" x14ac:dyDescent="0.25">
      <c r="A49" s="165" t="s">
        <v>1</v>
      </c>
      <c r="B49" s="166"/>
      <c r="C49" s="62"/>
      <c r="D49" s="43">
        <v>400</v>
      </c>
      <c r="E49" s="70"/>
      <c r="F49" s="11"/>
      <c r="G49" s="43">
        <v>800</v>
      </c>
      <c r="H49" s="11"/>
      <c r="I49" s="43">
        <v>1600</v>
      </c>
      <c r="J49" s="11"/>
      <c r="K49" s="43">
        <v>400</v>
      </c>
      <c r="L49" s="11"/>
      <c r="M49" s="11"/>
      <c r="N49" s="43">
        <v>800</v>
      </c>
      <c r="O49" s="11"/>
      <c r="P49" s="43">
        <v>1600</v>
      </c>
      <c r="Q49" s="11"/>
      <c r="R49" s="43">
        <v>3200</v>
      </c>
      <c r="S49" s="11"/>
      <c r="T49" s="69"/>
      <c r="U49" s="34"/>
      <c r="V49" s="40"/>
    </row>
    <row r="50" spans="1:22" ht="12.75" customHeight="1" x14ac:dyDescent="0.25">
      <c r="A50" s="165" t="s">
        <v>2</v>
      </c>
      <c r="B50" s="166"/>
      <c r="C50" s="71"/>
      <c r="D50" s="72"/>
      <c r="E50" s="86">
        <f>SUM(E20,E25,E30,E34,E41,E45,E48)</f>
        <v>0</v>
      </c>
      <c r="F50" s="86">
        <f>SUM(F20,F25,F30,F34,F41,F45,F48)</f>
        <v>0</v>
      </c>
      <c r="G50" s="72"/>
      <c r="H50" s="86">
        <f>SUM(H20,H25,H30,H34,H41,H45,H48)</f>
        <v>0</v>
      </c>
      <c r="I50" s="62"/>
      <c r="J50" s="90">
        <f>SUM(J20,J25,J30,J34,J41,J45,J48)</f>
        <v>166</v>
      </c>
      <c r="K50" s="62"/>
      <c r="L50" s="86">
        <f>SUM(L20,L25,L30,L34,L41,L45,L48)</f>
        <v>404</v>
      </c>
      <c r="M50" s="86">
        <f>SUM(M20,M25,M30,M34,M41,M45,M48)</f>
        <v>387</v>
      </c>
      <c r="N50" s="73"/>
      <c r="O50" s="98">
        <f>SUM(O20,O25,O30,O34,O41,O45,O48)</f>
        <v>629</v>
      </c>
      <c r="P50" s="73"/>
      <c r="Q50" s="99">
        <f>SUM(Q20,Q25,Q30,Q34,Q41,Q45,Q48)</f>
        <v>1387</v>
      </c>
      <c r="R50" s="73"/>
      <c r="S50" s="99">
        <f>SUM(S20,S25,S30,S34,S41,S45,S48)</f>
        <v>1553</v>
      </c>
      <c r="T50" s="69"/>
      <c r="U50" s="154" t="s">
        <v>65</v>
      </c>
      <c r="V50" s="155"/>
    </row>
    <row r="51" spans="1:22" ht="12.75" customHeight="1" x14ac:dyDescent="0.25">
      <c r="A51" s="165" t="s">
        <v>3</v>
      </c>
      <c r="B51" s="166"/>
      <c r="C51" s="71"/>
      <c r="D51" s="72"/>
      <c r="E51" s="94">
        <f>ROUND((E50*100)/D49,1)</f>
        <v>0</v>
      </c>
      <c r="F51" s="95">
        <f>ROUND((F50*100)/D49,1)</f>
        <v>0</v>
      </c>
      <c r="G51" s="72"/>
      <c r="H51" s="95">
        <f>ROUND((H50*100)/G49,1)</f>
        <v>0</v>
      </c>
      <c r="I51" s="62"/>
      <c r="J51" s="96">
        <f>ROUND((J50*100)/I49,1)</f>
        <v>10.4</v>
      </c>
      <c r="K51" s="62"/>
      <c r="L51" s="96">
        <f>ROUND((L50*100)/K49,1)</f>
        <v>101</v>
      </c>
      <c r="M51" s="97">
        <f>ROUND((M50*100)/K49,1)</f>
        <v>96.8</v>
      </c>
      <c r="N51" s="73"/>
      <c r="O51" s="96">
        <f>ROUND((O50*100)/N49,1)</f>
        <v>78.599999999999994</v>
      </c>
      <c r="P51" s="73"/>
      <c r="Q51" s="96">
        <f>ROUND((Q50*100)/P49,1)</f>
        <v>86.7</v>
      </c>
      <c r="R51" s="73"/>
      <c r="S51" s="96">
        <f>ROUND((S50*100)/R49,1)</f>
        <v>48.5</v>
      </c>
      <c r="T51" s="69"/>
      <c r="U51" s="156"/>
      <c r="V51" s="155"/>
    </row>
    <row r="52" spans="1:22" ht="12.75" customHeight="1" x14ac:dyDescent="0.25">
      <c r="A52" s="163" t="s">
        <v>93</v>
      </c>
      <c r="B52" s="164"/>
      <c r="C52" s="74"/>
      <c r="D52" s="75"/>
      <c r="E52" s="76"/>
      <c r="F52" s="76"/>
      <c r="G52" s="75"/>
      <c r="H52" s="76"/>
      <c r="I52" s="76"/>
      <c r="J52" s="76"/>
      <c r="K52" s="76"/>
      <c r="L52" s="76"/>
      <c r="M52" s="76"/>
      <c r="N52" s="77"/>
      <c r="O52" s="76"/>
      <c r="P52" s="77"/>
      <c r="Q52" s="76"/>
      <c r="R52" s="73"/>
      <c r="S52" s="76"/>
      <c r="T52" s="78"/>
      <c r="U52" s="156"/>
      <c r="V52" s="155"/>
    </row>
    <row r="53" spans="1:22" ht="12.75" customHeight="1" x14ac:dyDescent="0.25">
      <c r="A53" s="165" t="s">
        <v>4</v>
      </c>
      <c r="B53" s="166"/>
      <c r="C53" s="79"/>
      <c r="D53" s="80"/>
      <c r="E53" s="79"/>
      <c r="F53" s="79"/>
      <c r="G53" s="80"/>
      <c r="H53" s="80"/>
      <c r="I53" s="80"/>
      <c r="J53" s="80"/>
      <c r="K53" s="80"/>
      <c r="L53" s="79"/>
      <c r="M53" s="79"/>
      <c r="N53" s="80"/>
      <c r="O53" s="79"/>
      <c r="P53" s="80"/>
      <c r="Q53" s="79"/>
      <c r="R53" s="81"/>
      <c r="S53" s="79"/>
      <c r="T53" s="82"/>
      <c r="U53" s="156"/>
      <c r="V53" s="155"/>
    </row>
    <row r="54" spans="1:22" ht="12.75" customHeight="1" x14ac:dyDescent="0.25">
      <c r="A54" s="167" t="s">
        <v>5</v>
      </c>
      <c r="B54" s="168"/>
      <c r="C54" s="56"/>
      <c r="D54" s="57"/>
      <c r="E54" s="56"/>
      <c r="F54" s="56"/>
      <c r="G54" s="57"/>
      <c r="H54" s="57"/>
      <c r="I54" s="57"/>
      <c r="J54" s="57"/>
      <c r="K54" s="57"/>
      <c r="L54" s="56"/>
      <c r="M54" s="56"/>
      <c r="N54" s="57"/>
      <c r="O54" s="57"/>
      <c r="P54" s="57"/>
      <c r="Q54" s="57"/>
      <c r="R54" s="83"/>
      <c r="S54" s="57"/>
      <c r="T54" s="84"/>
      <c r="U54" s="156"/>
      <c r="V54" s="155"/>
    </row>
    <row r="55" spans="1:22" ht="12.75" customHeight="1" thickBot="1" x14ac:dyDescent="0.3">
      <c r="A55" s="169" t="s">
        <v>64</v>
      </c>
      <c r="B55" s="170"/>
      <c r="C55" s="85"/>
      <c r="D55" s="174"/>
      <c r="E55" s="175"/>
      <c r="F55" s="85"/>
      <c r="G55" s="174"/>
      <c r="H55" s="176"/>
      <c r="I55" s="176"/>
      <c r="J55" s="176"/>
      <c r="K55" s="175"/>
      <c r="L55" s="85"/>
      <c r="M55" s="85"/>
      <c r="N55" s="171"/>
      <c r="O55" s="172"/>
      <c r="P55" s="172"/>
      <c r="Q55" s="172"/>
      <c r="R55" s="172"/>
      <c r="S55" s="172"/>
      <c r="T55" s="173"/>
      <c r="U55" s="157"/>
      <c r="V55" s="158"/>
    </row>
  </sheetData>
  <mergeCells count="58">
    <mergeCell ref="A49:B49"/>
    <mergeCell ref="A50:B50"/>
    <mergeCell ref="A51:B51"/>
    <mergeCell ref="A44:B44"/>
    <mergeCell ref="A45:B45"/>
    <mergeCell ref="A46:S46"/>
    <mergeCell ref="A47:B47"/>
    <mergeCell ref="A48:B48"/>
    <mergeCell ref="A43:B43"/>
    <mergeCell ref="A24:B24"/>
    <mergeCell ref="A22:B22"/>
    <mergeCell ref="A23:B23"/>
    <mergeCell ref="A29:B29"/>
    <mergeCell ref="A34:B34"/>
    <mergeCell ref="A36:B36"/>
    <mergeCell ref="A37:B37"/>
    <mergeCell ref="A25:B25"/>
    <mergeCell ref="A27:B27"/>
    <mergeCell ref="A28:B28"/>
    <mergeCell ref="A30:B30"/>
    <mergeCell ref="A32:B32"/>
    <mergeCell ref="A33:B33"/>
    <mergeCell ref="A40:B40"/>
    <mergeCell ref="A41:B41"/>
    <mergeCell ref="U19:V19"/>
    <mergeCell ref="T16:T42"/>
    <mergeCell ref="A31:S31"/>
    <mergeCell ref="A35:S35"/>
    <mergeCell ref="A42:S42"/>
    <mergeCell ref="A38:B38"/>
    <mergeCell ref="A39:B39"/>
    <mergeCell ref="A18:B18"/>
    <mergeCell ref="A19:B19"/>
    <mergeCell ref="R12:S13"/>
    <mergeCell ref="N12:O13"/>
    <mergeCell ref="P12:Q13"/>
    <mergeCell ref="L12:M12"/>
    <mergeCell ref="D11:J11"/>
    <mergeCell ref="D12:D13"/>
    <mergeCell ref="G12:H13"/>
    <mergeCell ref="I12:J13"/>
    <mergeCell ref="E12:F12"/>
    <mergeCell ref="U50:V55"/>
    <mergeCell ref="U11:V12"/>
    <mergeCell ref="A52:B52"/>
    <mergeCell ref="A53:B53"/>
    <mergeCell ref="A54:B54"/>
    <mergeCell ref="A55:B55"/>
    <mergeCell ref="N55:T55"/>
    <mergeCell ref="D55:E55"/>
    <mergeCell ref="G55:K55"/>
    <mergeCell ref="A14:S14"/>
    <mergeCell ref="A15:S15"/>
    <mergeCell ref="A11:B13"/>
    <mergeCell ref="A21:S21"/>
    <mergeCell ref="A26:S26"/>
    <mergeCell ref="K11:S11"/>
    <mergeCell ref="K12:K13"/>
  </mergeCells>
  <conditionalFormatting sqref="E16:F16 H18 O18 L16:M16">
    <cfRule type="cellIs" dxfId="433" priority="251" operator="lessThan">
      <formula>20</formula>
    </cfRule>
    <cfRule type="cellIs" dxfId="432" priority="252" operator="greaterThan">
      <formula>40</formula>
    </cfRule>
  </conditionalFormatting>
  <conditionalFormatting sqref="E17:F17 L17:M17 E22:F24 L22:M24 E27:F29 L27:M29">
    <cfRule type="cellIs" dxfId="431" priority="250" operator="greaterThan">
      <formula>10</formula>
    </cfRule>
  </conditionalFormatting>
  <conditionalFormatting sqref="E17:F17 L17:M17 E22:F24 L22:M24 E27:F29 L27:M29">
    <cfRule type="cellIs" dxfId="430" priority="249" operator="lessThan">
      <formula>5</formula>
    </cfRule>
  </conditionalFormatting>
  <conditionalFormatting sqref="Q23">
    <cfRule type="cellIs" dxfId="429" priority="243" operator="lessThan">
      <formula>20</formula>
    </cfRule>
    <cfRule type="cellIs" dxfId="428" priority="244" operator="greaterThan">
      <formula>40</formula>
    </cfRule>
  </conditionalFormatting>
  <conditionalFormatting sqref="Q24">
    <cfRule type="cellIs" dxfId="427" priority="241" operator="lessThan">
      <formula>20</formula>
    </cfRule>
    <cfRule type="cellIs" dxfId="426" priority="242" operator="greaterThan">
      <formula>40</formula>
    </cfRule>
  </conditionalFormatting>
  <conditionalFormatting sqref="Q22">
    <cfRule type="cellIs" dxfId="425" priority="239" operator="lessThan">
      <formula>20</formula>
    </cfRule>
    <cfRule type="cellIs" dxfId="424" priority="240" operator="greaterThan">
      <formula>40</formula>
    </cfRule>
  </conditionalFormatting>
  <conditionalFormatting sqref="H47:H48">
    <cfRule type="cellIs" dxfId="423" priority="215" operator="lessThan">
      <formula>20</formula>
    </cfRule>
    <cfRule type="cellIs" dxfId="422" priority="216" operator="greaterThan">
      <formula>40</formula>
    </cfRule>
  </conditionalFormatting>
  <conditionalFormatting sqref="H36:H40">
    <cfRule type="cellIs" dxfId="421" priority="223" operator="lessThan">
      <formula>20</formula>
    </cfRule>
    <cfRule type="cellIs" dxfId="420" priority="224" operator="greaterThan">
      <formula>40</formula>
    </cfRule>
  </conditionalFormatting>
  <conditionalFormatting sqref="O36:O40">
    <cfRule type="cellIs" dxfId="419" priority="221" operator="lessThan">
      <formula>20</formula>
    </cfRule>
    <cfRule type="cellIs" dxfId="418" priority="222" operator="greaterThan">
      <formula>40</formula>
    </cfRule>
  </conditionalFormatting>
  <conditionalFormatting sqref="E18:F18">
    <cfRule type="cellIs" dxfId="417" priority="211" operator="lessThan">
      <formula>10</formula>
    </cfRule>
    <cfRule type="cellIs" dxfId="416" priority="212" operator="greaterThan">
      <formula>20</formula>
    </cfRule>
  </conditionalFormatting>
  <conditionalFormatting sqref="L18:M18">
    <cfRule type="cellIs" dxfId="415" priority="209" operator="lessThan">
      <formula>10</formula>
    </cfRule>
    <cfRule type="cellIs" dxfId="414" priority="210" operator="greaterThan">
      <formula>20</formula>
    </cfRule>
  </conditionalFormatting>
  <conditionalFormatting sqref="L19:M19">
    <cfRule type="cellIs" dxfId="413" priority="208" operator="greaterThan">
      <formula>10</formula>
    </cfRule>
  </conditionalFormatting>
  <conditionalFormatting sqref="L19:M19">
    <cfRule type="cellIs" dxfId="412" priority="207" operator="lessThan">
      <formula>5</formula>
    </cfRule>
  </conditionalFormatting>
  <conditionalFormatting sqref="E19:F19">
    <cfRule type="cellIs" dxfId="411" priority="206" operator="greaterThan">
      <formula>10</formula>
    </cfRule>
  </conditionalFormatting>
  <conditionalFormatting sqref="E19:F19">
    <cfRule type="cellIs" dxfId="410" priority="205" operator="lessThan">
      <formula>5</formula>
    </cfRule>
  </conditionalFormatting>
  <conditionalFormatting sqref="H19">
    <cfRule type="cellIs" dxfId="409" priority="203" operator="lessThan">
      <formula>10</formula>
    </cfRule>
    <cfRule type="cellIs" dxfId="408" priority="204" operator="greaterThan">
      <formula>20</formula>
    </cfRule>
  </conditionalFormatting>
  <conditionalFormatting sqref="O17">
    <cfRule type="cellIs" dxfId="407" priority="201" operator="lessThan">
      <formula>10</formula>
    </cfRule>
    <cfRule type="cellIs" dxfId="406" priority="202" operator="greaterThan">
      <formula>20</formula>
    </cfRule>
  </conditionalFormatting>
  <conditionalFormatting sqref="O19">
    <cfRule type="cellIs" dxfId="405" priority="199" operator="lessThan">
      <formula>10</formula>
    </cfRule>
    <cfRule type="cellIs" dxfId="404" priority="200" operator="greaterThan">
      <formula>20</formula>
    </cfRule>
  </conditionalFormatting>
  <conditionalFormatting sqref="H17">
    <cfRule type="cellIs" dxfId="403" priority="197" operator="lessThan">
      <formula>10</formula>
    </cfRule>
    <cfRule type="cellIs" dxfId="402" priority="198" operator="greaterThan">
      <formula>20</formula>
    </cfRule>
  </conditionalFormatting>
  <conditionalFormatting sqref="J19">
    <cfRule type="cellIs" dxfId="401" priority="193" operator="lessThan">
      <formula>20</formula>
    </cfRule>
    <cfRule type="cellIs" dxfId="400" priority="194" operator="greaterThan">
      <formula>40</formula>
    </cfRule>
  </conditionalFormatting>
  <conditionalFormatting sqref="J17">
    <cfRule type="cellIs" dxfId="399" priority="191" operator="lessThan">
      <formula>20</formula>
    </cfRule>
    <cfRule type="cellIs" dxfId="398" priority="192" operator="greaterThan">
      <formula>40</formula>
    </cfRule>
  </conditionalFormatting>
  <conditionalFormatting sqref="H16 E20:F20 L20:M20 Q18 J18">
    <cfRule type="cellIs" dxfId="397" priority="190" operator="greaterThan">
      <formula>80</formula>
    </cfRule>
  </conditionalFormatting>
  <conditionalFormatting sqref="H16 E20:F20 L20:M20 Q18 J18">
    <cfRule type="cellIs" dxfId="396" priority="189" operator="lessThan">
      <formula>40</formula>
    </cfRule>
  </conditionalFormatting>
  <conditionalFormatting sqref="O16">
    <cfRule type="cellIs" dxfId="395" priority="188" operator="greaterThan">
      <formula>80</formula>
    </cfRule>
  </conditionalFormatting>
  <conditionalFormatting sqref="O16">
    <cfRule type="cellIs" dxfId="394" priority="187" operator="lessThan">
      <formula>40</formula>
    </cfRule>
  </conditionalFormatting>
  <conditionalFormatting sqref="S17">
    <cfRule type="cellIs" dxfId="393" priority="186" operator="greaterThan">
      <formula>80</formula>
    </cfRule>
  </conditionalFormatting>
  <conditionalFormatting sqref="S17">
    <cfRule type="cellIs" dxfId="392" priority="185" operator="lessThan">
      <formula>40</formula>
    </cfRule>
  </conditionalFormatting>
  <conditionalFormatting sqref="Q17">
    <cfRule type="cellIs" dxfId="391" priority="183" operator="lessThan">
      <formula>20</formula>
    </cfRule>
    <cfRule type="cellIs" dxfId="390" priority="184" operator="greaterThan">
      <formula>40</formula>
    </cfRule>
  </conditionalFormatting>
  <conditionalFormatting sqref="S19">
    <cfRule type="cellIs" dxfId="389" priority="182" operator="greaterThan">
      <formula>80</formula>
    </cfRule>
  </conditionalFormatting>
  <conditionalFormatting sqref="S19">
    <cfRule type="cellIs" dxfId="388" priority="181" operator="lessThan">
      <formula>40</formula>
    </cfRule>
  </conditionalFormatting>
  <conditionalFormatting sqref="Q19">
    <cfRule type="cellIs" dxfId="387" priority="179" operator="lessThan">
      <formula>20</formula>
    </cfRule>
    <cfRule type="cellIs" dxfId="386" priority="180" operator="greaterThan">
      <formula>40</formula>
    </cfRule>
  </conditionalFormatting>
  <conditionalFormatting sqref="H20">
    <cfRule type="cellIs" dxfId="385" priority="177" operator="lessThan">
      <formula>80</formula>
    </cfRule>
    <cfRule type="cellIs" dxfId="384" priority="178" operator="greaterThan">
      <formula>160</formula>
    </cfRule>
  </conditionalFormatting>
  <conditionalFormatting sqref="Q16">
    <cfRule type="cellIs" dxfId="383" priority="175" operator="lessThan">
      <formula>80</formula>
    </cfRule>
    <cfRule type="cellIs" dxfId="382" priority="176" operator="greaterThan">
      <formula>160</formula>
    </cfRule>
  </conditionalFormatting>
  <conditionalFormatting sqref="S18">
    <cfRule type="cellIs" dxfId="381" priority="173" operator="lessThan">
      <formula>80</formula>
    </cfRule>
    <cfRule type="cellIs" dxfId="380" priority="174" operator="greaterThan">
      <formula>160</formula>
    </cfRule>
  </conditionalFormatting>
  <conditionalFormatting sqref="J16">
    <cfRule type="cellIs" dxfId="379" priority="171" operator="lessThan">
      <formula>80</formula>
    </cfRule>
    <cfRule type="cellIs" dxfId="378" priority="172" operator="greaterThan">
      <formula>160</formula>
    </cfRule>
  </conditionalFormatting>
  <conditionalFormatting sqref="J20">
    <cfRule type="cellIs" dxfId="377" priority="169" operator="lessThan">
      <formula>160</formula>
    </cfRule>
    <cfRule type="cellIs" dxfId="376" priority="170" operator="greaterThan">
      <formula>320</formula>
    </cfRule>
  </conditionalFormatting>
  <conditionalFormatting sqref="Q20">
    <cfRule type="cellIs" dxfId="375" priority="167" operator="lessThan">
      <formula>160</formula>
    </cfRule>
    <cfRule type="cellIs" dxfId="374" priority="168" operator="greaterThan">
      <formula>320</formula>
    </cfRule>
  </conditionalFormatting>
  <conditionalFormatting sqref="O20">
    <cfRule type="cellIs" dxfId="373" priority="165" operator="lessThan">
      <formula>80</formula>
    </cfRule>
    <cfRule type="cellIs" dxfId="372" priority="166" operator="greaterThan">
      <formula>160</formula>
    </cfRule>
  </conditionalFormatting>
  <conditionalFormatting sqref="S20">
    <cfRule type="cellIs" dxfId="371" priority="163" operator="lessThan">
      <formula>320</formula>
    </cfRule>
    <cfRule type="cellIs" dxfId="370" priority="164" operator="greaterThan">
      <formula>640</formula>
    </cfRule>
  </conditionalFormatting>
  <conditionalFormatting sqref="H22:H24">
    <cfRule type="cellIs" dxfId="369" priority="161" operator="lessThan">
      <formula>10</formula>
    </cfRule>
    <cfRule type="cellIs" dxfId="368" priority="162" operator="greaterThan">
      <formula>20</formula>
    </cfRule>
  </conditionalFormatting>
  <conditionalFormatting sqref="J22:J24">
    <cfRule type="cellIs" dxfId="367" priority="159" operator="lessThan">
      <formula>20</formula>
    </cfRule>
    <cfRule type="cellIs" dxfId="366" priority="160" operator="greaterThan">
      <formula>40</formula>
    </cfRule>
  </conditionalFormatting>
  <conditionalFormatting sqref="O22:O24">
    <cfRule type="cellIs" dxfId="365" priority="157" operator="lessThan">
      <formula>10</formula>
    </cfRule>
    <cfRule type="cellIs" dxfId="364" priority="158" operator="greaterThan">
      <formula>20</formula>
    </cfRule>
  </conditionalFormatting>
  <conditionalFormatting sqref="S22:S24">
    <cfRule type="cellIs" dxfId="363" priority="156" operator="greaterThan">
      <formula>80</formula>
    </cfRule>
  </conditionalFormatting>
  <conditionalFormatting sqref="S22:S24">
    <cfRule type="cellIs" dxfId="362" priority="155" operator="lessThan">
      <formula>40</formula>
    </cfRule>
  </conditionalFormatting>
  <conditionalFormatting sqref="E25">
    <cfRule type="cellIs" dxfId="361" priority="153" operator="lessThan">
      <formula>15</formula>
    </cfRule>
    <cfRule type="cellIs" dxfId="360" priority="154" operator="greaterThan">
      <formula>30</formula>
    </cfRule>
  </conditionalFormatting>
  <conditionalFormatting sqref="F25">
    <cfRule type="cellIs" dxfId="359" priority="151" operator="lessThan">
      <formula>15</formula>
    </cfRule>
    <cfRule type="cellIs" dxfId="358" priority="152" operator="greaterThan">
      <formula>30</formula>
    </cfRule>
  </conditionalFormatting>
  <conditionalFormatting sqref="L25:M25">
    <cfRule type="cellIs" dxfId="357" priority="149" operator="lessThan">
      <formula>15</formula>
    </cfRule>
    <cfRule type="cellIs" dxfId="356" priority="150" operator="greaterThan">
      <formula>30</formula>
    </cfRule>
  </conditionalFormatting>
  <conditionalFormatting sqref="H25">
    <cfRule type="cellIs" dxfId="355" priority="147" operator="lessThan">
      <formula>30</formula>
    </cfRule>
    <cfRule type="cellIs" dxfId="354" priority="148" operator="greaterThan">
      <formula>60</formula>
    </cfRule>
  </conditionalFormatting>
  <conditionalFormatting sqref="O25">
    <cfRule type="cellIs" dxfId="353" priority="145" operator="lessThan">
      <formula>30</formula>
    </cfRule>
    <cfRule type="cellIs" dxfId="352" priority="146" operator="greaterThan">
      <formula>60</formula>
    </cfRule>
  </conditionalFormatting>
  <conditionalFormatting sqref="J25">
    <cfRule type="cellIs" dxfId="351" priority="143" operator="lessThan">
      <formula>60</formula>
    </cfRule>
    <cfRule type="cellIs" dxfId="350" priority="144" operator="greaterThan">
      <formula>120</formula>
    </cfRule>
  </conditionalFormatting>
  <conditionalFormatting sqref="Q25">
    <cfRule type="cellIs" dxfId="349" priority="141" operator="lessThan">
      <formula>60</formula>
    </cfRule>
    <cfRule type="cellIs" dxfId="348" priority="142" operator="greaterThan">
      <formula>120</formula>
    </cfRule>
  </conditionalFormatting>
  <conditionalFormatting sqref="S25">
    <cfRule type="cellIs" dxfId="347" priority="139" operator="lessThan">
      <formula>120</formula>
    </cfRule>
    <cfRule type="cellIs" dxfId="346" priority="140" operator="greaterThan">
      <formula>240</formula>
    </cfRule>
  </conditionalFormatting>
  <conditionalFormatting sqref="E30:F30">
    <cfRule type="cellIs" dxfId="345" priority="137" operator="lessThan">
      <formula>15</formula>
    </cfRule>
    <cfRule type="cellIs" dxfId="344" priority="138" operator="greaterThan">
      <formula>30</formula>
    </cfRule>
  </conditionalFormatting>
  <conditionalFormatting sqref="J27:J29">
    <cfRule type="cellIs" dxfId="343" priority="133" operator="lessThan">
      <formula>20</formula>
    </cfRule>
    <cfRule type="cellIs" dxfId="342" priority="134" operator="greaterThan">
      <formula>40</formula>
    </cfRule>
  </conditionalFormatting>
  <conditionalFormatting sqref="L30:M30">
    <cfRule type="cellIs" dxfId="341" priority="129" operator="lessThan">
      <formula>15</formula>
    </cfRule>
    <cfRule type="cellIs" dxfId="340" priority="130" operator="greaterThan">
      <formula>30</formula>
    </cfRule>
  </conditionalFormatting>
  <conditionalFormatting sqref="H27:H29">
    <cfRule type="cellIs" dxfId="339" priority="127" operator="lessThan">
      <formula>10</formula>
    </cfRule>
    <cfRule type="cellIs" dxfId="338" priority="128" operator="greaterThan">
      <formula>20</formula>
    </cfRule>
  </conditionalFormatting>
  <conditionalFormatting sqref="O27:O29">
    <cfRule type="cellIs" dxfId="337" priority="125" operator="lessThan">
      <formula>10</formula>
    </cfRule>
    <cfRule type="cellIs" dxfId="336" priority="126" operator="greaterThan">
      <formula>20</formula>
    </cfRule>
  </conditionalFormatting>
  <conditionalFormatting sqref="Q27:Q29">
    <cfRule type="cellIs" dxfId="335" priority="123" operator="lessThan">
      <formula>20</formula>
    </cfRule>
    <cfRule type="cellIs" dxfId="334" priority="124" operator="greaterThan">
      <formula>40</formula>
    </cfRule>
  </conditionalFormatting>
  <conditionalFormatting sqref="S27:S29">
    <cfRule type="cellIs" dxfId="333" priority="122" operator="greaterThan">
      <formula>80</formula>
    </cfRule>
  </conditionalFormatting>
  <conditionalFormatting sqref="S27:S29">
    <cfRule type="cellIs" dxfId="332" priority="121" operator="lessThan">
      <formula>40</formula>
    </cfRule>
  </conditionalFormatting>
  <conditionalFormatting sqref="Q30">
    <cfRule type="cellIs" dxfId="331" priority="119" operator="lessThan">
      <formula>60</formula>
    </cfRule>
    <cfRule type="cellIs" dxfId="330" priority="120" operator="greaterThan">
      <formula>120</formula>
    </cfRule>
  </conditionalFormatting>
  <conditionalFormatting sqref="S30">
    <cfRule type="cellIs" dxfId="329" priority="117" operator="lessThan">
      <formula>120</formula>
    </cfRule>
    <cfRule type="cellIs" dxfId="328" priority="118" operator="greaterThan">
      <formula>240</formula>
    </cfRule>
  </conditionalFormatting>
  <conditionalFormatting sqref="O30">
    <cfRule type="cellIs" dxfId="327" priority="115" operator="lessThan">
      <formula>30</formula>
    </cfRule>
    <cfRule type="cellIs" dxfId="326" priority="116" operator="greaterThan">
      <formula>60</formula>
    </cfRule>
  </conditionalFormatting>
  <conditionalFormatting sqref="J30">
    <cfRule type="cellIs" dxfId="325" priority="113" operator="lessThan">
      <formula>60</formula>
    </cfRule>
    <cfRule type="cellIs" dxfId="324" priority="114" operator="greaterThan">
      <formula>120</formula>
    </cfRule>
  </conditionalFormatting>
  <conditionalFormatting sqref="H30">
    <cfRule type="cellIs" dxfId="323" priority="111" operator="lessThan">
      <formula>30</formula>
    </cfRule>
    <cfRule type="cellIs" dxfId="322" priority="112" operator="greaterThan">
      <formula>60</formula>
    </cfRule>
  </conditionalFormatting>
  <conditionalFormatting sqref="E32:F32">
    <cfRule type="cellIs" dxfId="321" priority="109" operator="lessThan">
      <formula>15</formula>
    </cfRule>
    <cfRule type="cellIs" dxfId="320" priority="110" operator="greaterThan">
      <formula>30</formula>
    </cfRule>
  </conditionalFormatting>
  <conditionalFormatting sqref="L32:M32">
    <cfRule type="cellIs" dxfId="319" priority="107" operator="lessThan">
      <formula>15</formula>
    </cfRule>
    <cfRule type="cellIs" dxfId="318" priority="108" operator="greaterThan">
      <formula>30</formula>
    </cfRule>
  </conditionalFormatting>
  <conditionalFormatting sqref="H32">
    <cfRule type="cellIs" dxfId="317" priority="105" operator="lessThan">
      <formula>30</formula>
    </cfRule>
    <cfRule type="cellIs" dxfId="316" priority="106" operator="greaterThan">
      <formula>60</formula>
    </cfRule>
  </conditionalFormatting>
  <conditionalFormatting sqref="O32">
    <cfRule type="cellIs" dxfId="315" priority="103" operator="lessThan">
      <formula>30</formula>
    </cfRule>
    <cfRule type="cellIs" dxfId="314" priority="104" operator="greaterThan">
      <formula>60</formula>
    </cfRule>
  </conditionalFormatting>
  <conditionalFormatting sqref="Q32">
    <cfRule type="cellIs" dxfId="313" priority="101" operator="lessThan">
      <formula>60</formula>
    </cfRule>
    <cfRule type="cellIs" dxfId="312" priority="102" operator="greaterThan">
      <formula>120</formula>
    </cfRule>
  </conditionalFormatting>
  <conditionalFormatting sqref="S32">
    <cfRule type="cellIs" dxfId="311" priority="99" operator="lessThan">
      <formula>120</formula>
    </cfRule>
    <cfRule type="cellIs" dxfId="310" priority="100" operator="greaterThan">
      <formula>240</formula>
    </cfRule>
  </conditionalFormatting>
  <conditionalFormatting sqref="E33:F33 L33:M33">
    <cfRule type="cellIs" dxfId="309" priority="97" operator="lessThan">
      <formula>35</formula>
    </cfRule>
    <cfRule type="cellIs" dxfId="308" priority="98" operator="greaterThan">
      <formula>70</formula>
    </cfRule>
  </conditionalFormatting>
  <conditionalFormatting sqref="H33 O33">
    <cfRule type="cellIs" dxfId="307" priority="95" operator="lessThan">
      <formula>70</formula>
    </cfRule>
    <cfRule type="cellIs" dxfId="306" priority="96" operator="greaterThan">
      <formula>140</formula>
    </cfRule>
  </conditionalFormatting>
  <conditionalFormatting sqref="J33 Q33">
    <cfRule type="cellIs" dxfId="305" priority="93" operator="lessThan">
      <formula>140</formula>
    </cfRule>
    <cfRule type="cellIs" dxfId="304" priority="94" operator="greaterThan">
      <formula>280</formula>
    </cfRule>
  </conditionalFormatting>
  <conditionalFormatting sqref="S33">
    <cfRule type="cellIs" dxfId="303" priority="91" operator="lessThan">
      <formula>280</formula>
    </cfRule>
    <cfRule type="cellIs" dxfId="302" priority="92" operator="greaterThan">
      <formula>560</formula>
    </cfRule>
  </conditionalFormatting>
  <conditionalFormatting sqref="E34:F34 L34:M34">
    <cfRule type="cellIs" dxfId="301" priority="89" operator="lessThan">
      <formula>50</formula>
    </cfRule>
    <cfRule type="cellIs" dxfId="300" priority="90" operator="greaterThan">
      <formula>100</formula>
    </cfRule>
  </conditionalFormatting>
  <conditionalFormatting sqref="H34 O34">
    <cfRule type="cellIs" dxfId="299" priority="87" operator="lessThan">
      <formula>100</formula>
    </cfRule>
    <cfRule type="cellIs" dxfId="298" priority="88" operator="greaterThan">
      <formula>200</formula>
    </cfRule>
  </conditionalFormatting>
  <conditionalFormatting sqref="Q34 J34">
    <cfRule type="cellIs" dxfId="297" priority="85" operator="lessThan">
      <formula>200</formula>
    </cfRule>
    <cfRule type="cellIs" dxfId="296" priority="86" operator="greaterThan">
      <formula>400</formula>
    </cfRule>
  </conditionalFormatting>
  <conditionalFormatting sqref="S34">
    <cfRule type="cellIs" dxfId="295" priority="83" operator="lessThan">
      <formula>400</formula>
    </cfRule>
    <cfRule type="cellIs" dxfId="294" priority="84" operator="greaterThan">
      <formula>800</formula>
    </cfRule>
  </conditionalFormatting>
  <conditionalFormatting sqref="E36:F40">
    <cfRule type="cellIs" dxfId="293" priority="81" operator="lessThan">
      <formula>10</formula>
    </cfRule>
    <cfRule type="cellIs" dxfId="292" priority="82" operator="greaterThan">
      <formula>20</formula>
    </cfRule>
  </conditionalFormatting>
  <conditionalFormatting sqref="L36:M40">
    <cfRule type="cellIs" dxfId="291" priority="79" operator="lessThan">
      <formula>10</formula>
    </cfRule>
    <cfRule type="cellIs" dxfId="290" priority="80" operator="greaterThan">
      <formula>20</formula>
    </cfRule>
  </conditionalFormatting>
  <conditionalFormatting sqref="J36:J40">
    <cfRule type="cellIs" dxfId="289" priority="76" operator="greaterThan">
      <formula>80</formula>
    </cfRule>
  </conditionalFormatting>
  <conditionalFormatting sqref="J36:J40">
    <cfRule type="cellIs" dxfId="288" priority="75" operator="lessThan">
      <formula>40</formula>
    </cfRule>
  </conditionalFormatting>
  <conditionalFormatting sqref="Q36:Q40">
    <cfRule type="cellIs" dxfId="287" priority="74" operator="greaterThan">
      <formula>80</formula>
    </cfRule>
  </conditionalFormatting>
  <conditionalFormatting sqref="Q36:Q40">
    <cfRule type="cellIs" dxfId="286" priority="73" operator="lessThan">
      <formula>40</formula>
    </cfRule>
  </conditionalFormatting>
  <conditionalFormatting sqref="S36:S40">
    <cfRule type="cellIs" dxfId="285" priority="71" operator="lessThan">
      <formula>80</formula>
    </cfRule>
    <cfRule type="cellIs" dxfId="284" priority="72" operator="greaterThan">
      <formula>160</formula>
    </cfRule>
  </conditionalFormatting>
  <conditionalFormatting sqref="E41:F41">
    <cfRule type="cellIs" dxfId="283" priority="67" operator="lessThan">
      <formula>50</formula>
    </cfRule>
    <cfRule type="cellIs" dxfId="282" priority="68" operator="greaterThan">
      <formula>100</formula>
    </cfRule>
  </conditionalFormatting>
  <conditionalFormatting sqref="H41">
    <cfRule type="cellIs" dxfId="281" priority="65" operator="lessThan">
      <formula>100</formula>
    </cfRule>
    <cfRule type="cellIs" dxfId="280" priority="66" operator="greaterThan">
      <formula>200</formula>
    </cfRule>
  </conditionalFormatting>
  <conditionalFormatting sqref="O41">
    <cfRule type="cellIs" dxfId="279" priority="63" operator="lessThan">
      <formula>100</formula>
    </cfRule>
    <cfRule type="cellIs" dxfId="278" priority="64" operator="greaterThan">
      <formula>200</formula>
    </cfRule>
  </conditionalFormatting>
  <conditionalFormatting sqref="L41:M41">
    <cfRule type="cellIs" dxfId="277" priority="61" operator="lessThan">
      <formula>50</formula>
    </cfRule>
    <cfRule type="cellIs" dxfId="276" priority="62" operator="greaterThan">
      <formula>100</formula>
    </cfRule>
  </conditionalFormatting>
  <conditionalFormatting sqref="Q41">
    <cfRule type="cellIs" dxfId="275" priority="59" operator="lessThan">
      <formula>200</formula>
    </cfRule>
    <cfRule type="cellIs" dxfId="274" priority="60" operator="greaterThan">
      <formula>400</formula>
    </cfRule>
  </conditionalFormatting>
  <conditionalFormatting sqref="S41">
    <cfRule type="cellIs" dxfId="273" priority="57" operator="lessThan">
      <formula>400</formula>
    </cfRule>
    <cfRule type="cellIs" dxfId="272" priority="58" operator="greaterThan">
      <formula>800</formula>
    </cfRule>
  </conditionalFormatting>
  <conditionalFormatting sqref="E43:F44">
    <cfRule type="cellIs" dxfId="271" priority="55" operator="lessThan">
      <formula>10</formula>
    </cfRule>
    <cfRule type="cellIs" dxfId="270" priority="56" operator="greaterThan">
      <formula>20</formula>
    </cfRule>
  </conditionalFormatting>
  <conditionalFormatting sqref="E45:F45">
    <cfRule type="cellIs" dxfId="269" priority="53" operator="lessThan">
      <formula>20</formula>
    </cfRule>
    <cfRule type="cellIs" dxfId="268" priority="54" operator="greaterThan">
      <formula>40</formula>
    </cfRule>
  </conditionalFormatting>
  <conditionalFormatting sqref="H43:H44">
    <cfRule type="cellIs" dxfId="267" priority="51" operator="lessThan">
      <formula>20</formula>
    </cfRule>
    <cfRule type="cellIs" dxfId="266" priority="52" operator="greaterThan">
      <formula>40</formula>
    </cfRule>
  </conditionalFormatting>
  <conditionalFormatting sqref="H45">
    <cfRule type="cellIs" dxfId="265" priority="50" operator="greaterThan">
      <formula>80</formula>
    </cfRule>
  </conditionalFormatting>
  <conditionalFormatting sqref="H45">
    <cfRule type="cellIs" dxfId="264" priority="49" operator="lessThan">
      <formula>40</formula>
    </cfRule>
  </conditionalFormatting>
  <conditionalFormatting sqref="J43:J44">
    <cfRule type="cellIs" dxfId="263" priority="48" operator="greaterThan">
      <formula>80</formula>
    </cfRule>
  </conditionalFormatting>
  <conditionalFormatting sqref="J43:J44">
    <cfRule type="cellIs" dxfId="262" priority="47" operator="lessThan">
      <formula>40</formula>
    </cfRule>
  </conditionalFormatting>
  <conditionalFormatting sqref="J45">
    <cfRule type="cellIs" dxfId="261" priority="45" operator="lessThan">
      <formula>80</formula>
    </cfRule>
    <cfRule type="cellIs" dxfId="260" priority="46" operator="greaterThan">
      <formula>160</formula>
    </cfRule>
  </conditionalFormatting>
  <conditionalFormatting sqref="L43:M44">
    <cfRule type="cellIs" dxfId="259" priority="43" operator="lessThan">
      <formula>10</formula>
    </cfRule>
    <cfRule type="cellIs" dxfId="258" priority="44" operator="greaterThan">
      <formula>20</formula>
    </cfRule>
  </conditionalFormatting>
  <conditionalFormatting sqref="L45:M45">
    <cfRule type="cellIs" dxfId="257" priority="41" operator="lessThan">
      <formula>20</formula>
    </cfRule>
    <cfRule type="cellIs" dxfId="256" priority="42" operator="greaterThan">
      <formula>40</formula>
    </cfRule>
  </conditionalFormatting>
  <conditionalFormatting sqref="O43:O44">
    <cfRule type="cellIs" dxfId="255" priority="39" operator="lessThan">
      <formula>20</formula>
    </cfRule>
    <cfRule type="cellIs" dxfId="254" priority="40" operator="greaterThan">
      <formula>40</formula>
    </cfRule>
  </conditionalFormatting>
  <conditionalFormatting sqref="O45">
    <cfRule type="cellIs" dxfId="253" priority="38" operator="greaterThan">
      <formula>80</formula>
    </cfRule>
  </conditionalFormatting>
  <conditionalFormatting sqref="O45">
    <cfRule type="cellIs" dxfId="252" priority="37" operator="lessThan">
      <formula>40</formula>
    </cfRule>
  </conditionalFormatting>
  <conditionalFormatting sqref="Q43:Q44">
    <cfRule type="cellIs" dxfId="251" priority="36" operator="greaterThan">
      <formula>80</formula>
    </cfRule>
  </conditionalFormatting>
  <conditionalFormatting sqref="Q43:Q44">
    <cfRule type="cellIs" dxfId="250" priority="35" operator="lessThan">
      <formula>40</formula>
    </cfRule>
  </conditionalFormatting>
  <conditionalFormatting sqref="S43:S44">
    <cfRule type="cellIs" dxfId="249" priority="33" operator="lessThan">
      <formula>80</formula>
    </cfRule>
    <cfRule type="cellIs" dxfId="248" priority="34" operator="greaterThan">
      <formula>160</formula>
    </cfRule>
  </conditionalFormatting>
  <conditionalFormatting sqref="Q45">
    <cfRule type="cellIs" dxfId="247" priority="31" operator="lessThan">
      <formula>80</formula>
    </cfRule>
    <cfRule type="cellIs" dxfId="246" priority="32" operator="greaterThan">
      <formula>160</formula>
    </cfRule>
  </conditionalFormatting>
  <conditionalFormatting sqref="S45">
    <cfRule type="cellIs" dxfId="245" priority="29" operator="lessThan">
      <formula>160</formula>
    </cfRule>
    <cfRule type="cellIs" dxfId="244" priority="30" operator="greaterThan">
      <formula>320</formula>
    </cfRule>
  </conditionalFormatting>
  <conditionalFormatting sqref="E47:F48">
    <cfRule type="cellIs" dxfId="243" priority="27" operator="lessThan">
      <formula>10</formula>
    </cfRule>
    <cfRule type="cellIs" dxfId="242" priority="28" operator="greaterThan">
      <formula>20</formula>
    </cfRule>
  </conditionalFormatting>
  <conditionalFormatting sqref="L47:M48">
    <cfRule type="cellIs" dxfId="241" priority="25" operator="lessThan">
      <formula>10</formula>
    </cfRule>
    <cfRule type="cellIs" dxfId="240" priority="26" operator="greaterThan">
      <formula>20</formula>
    </cfRule>
  </conditionalFormatting>
  <conditionalFormatting sqref="O47:O48">
    <cfRule type="cellIs" dxfId="239" priority="23" operator="lessThan">
      <formula>20</formula>
    </cfRule>
    <cfRule type="cellIs" dxfId="238" priority="24" operator="greaterThan">
      <formula>40</formula>
    </cfRule>
  </conditionalFormatting>
  <conditionalFormatting sqref="J47:J48">
    <cfRule type="cellIs" dxfId="237" priority="22" operator="greaterThan">
      <formula>80</formula>
    </cfRule>
  </conditionalFormatting>
  <conditionalFormatting sqref="J47:J48">
    <cfRule type="cellIs" dxfId="236" priority="21" operator="lessThan">
      <formula>40</formula>
    </cfRule>
  </conditionalFormatting>
  <conditionalFormatting sqref="Q47:Q48">
    <cfRule type="cellIs" dxfId="235" priority="18" operator="greaterThan">
      <formula>80</formula>
    </cfRule>
  </conditionalFormatting>
  <conditionalFormatting sqref="Q47:Q48">
    <cfRule type="cellIs" dxfId="234" priority="17" operator="lessThan">
      <formula>40</formula>
    </cfRule>
  </conditionalFormatting>
  <conditionalFormatting sqref="S47:S48">
    <cfRule type="cellIs" dxfId="233" priority="15" operator="lessThan">
      <formula>80</formula>
    </cfRule>
    <cfRule type="cellIs" dxfId="232" priority="16" operator="greaterThan">
      <formula>160</formula>
    </cfRule>
  </conditionalFormatting>
  <conditionalFormatting sqref="E50:F50">
    <cfRule type="cellIs" dxfId="231" priority="13" operator="lessThan">
      <formula>200</formula>
    </cfRule>
    <cfRule type="cellIs" dxfId="230" priority="14" operator="greaterThan">
      <formula>400</formula>
    </cfRule>
  </conditionalFormatting>
  <conditionalFormatting sqref="H50">
    <cfRule type="cellIs" dxfId="229" priority="11" operator="lessThan">
      <formula>400</formula>
    </cfRule>
    <cfRule type="cellIs" dxfId="228" priority="12" operator="greaterThan">
      <formula>800</formula>
    </cfRule>
  </conditionalFormatting>
  <conditionalFormatting sqref="J50">
    <cfRule type="cellIs" dxfId="227" priority="9" operator="lessThan">
      <formula>800</formula>
    </cfRule>
    <cfRule type="cellIs" dxfId="226" priority="10" operator="greaterThan">
      <formula>1600</formula>
    </cfRule>
  </conditionalFormatting>
  <conditionalFormatting sqref="L50:M50">
    <cfRule type="cellIs" dxfId="225" priority="7" operator="lessThan">
      <formula>200</formula>
    </cfRule>
    <cfRule type="cellIs" dxfId="224" priority="8" operator="greaterThan">
      <formula>400</formula>
    </cfRule>
  </conditionalFormatting>
  <conditionalFormatting sqref="O50">
    <cfRule type="cellIs" dxfId="223" priority="5" operator="lessThan">
      <formula>400</formula>
    </cfRule>
    <cfRule type="cellIs" dxfId="222" priority="6" operator="greaterThan">
      <formula>800</formula>
    </cfRule>
  </conditionalFormatting>
  <conditionalFormatting sqref="Q50">
    <cfRule type="cellIs" dxfId="221" priority="3" operator="lessThan">
      <formula>800</formula>
    </cfRule>
    <cfRule type="cellIs" dxfId="220" priority="4" operator="greaterThan">
      <formula>1600</formula>
    </cfRule>
  </conditionalFormatting>
  <conditionalFormatting sqref="E51:F51 H51 J51 L51:M51 O51 Q51 S51">
    <cfRule type="cellIs" dxfId="219" priority="2" operator="greaterThan">
      <formula>100</formula>
    </cfRule>
  </conditionalFormatting>
  <conditionalFormatting sqref="E51:F51 H51 J51 L51:M51 O51 Q51 S51">
    <cfRule type="cellIs" dxfId="218" priority="1" operator="lessThan">
      <formula>50</formula>
    </cfRule>
  </conditionalFormatting>
  <pageMargins left="0.11811023622047245" right="0" top="0.19685039370078741" bottom="0" header="0.19685039370078741" footer="0.19685039370078741"/>
  <pageSetup paperSize="9" orientation="portrait" r:id="rId1"/>
  <ignoredErrors>
    <ignoredError sqref="Q27:Q29 Q22:Q23 Q32:Q33 Q36 J36:J40 J43:J44 Q43:Q44 J27:J29 Q38" formulaRange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0000"/>
    <pageSetUpPr fitToPage="1"/>
  </sheetPr>
  <dimension ref="A4:F96"/>
  <sheetViews>
    <sheetView showGridLines="0" zoomScaleNormal="100" workbookViewId="0">
      <selection activeCell="D11" sqref="D11"/>
    </sheetView>
  </sheetViews>
  <sheetFormatPr baseColWidth="10" defaultColWidth="17.28515625" defaultRowHeight="19.5" x14ac:dyDescent="0.4"/>
  <cols>
    <col min="1" max="1" width="6.42578125" style="5" customWidth="1"/>
    <col min="2" max="2" width="35.7109375" style="3" customWidth="1"/>
    <col min="3" max="3" width="24.5703125" style="4" customWidth="1"/>
    <col min="4" max="4" width="21.5703125" style="4" customWidth="1"/>
    <col min="5" max="5" width="8.140625" style="4" customWidth="1"/>
    <col min="6" max="6" width="17.28515625" style="2"/>
    <col min="7" max="16384" width="17.28515625" style="5"/>
  </cols>
  <sheetData>
    <row r="4" spans="1:6" ht="16.5" x14ac:dyDescent="0.3">
      <c r="A4" s="2" t="s">
        <v>22</v>
      </c>
      <c r="B4" s="2" t="s">
        <v>23</v>
      </c>
      <c r="C4" s="7" t="s">
        <v>6</v>
      </c>
      <c r="D4" s="7" t="s">
        <v>7</v>
      </c>
      <c r="E4" s="7" t="s">
        <v>8</v>
      </c>
      <c r="F4" s="8" t="s">
        <v>5</v>
      </c>
    </row>
    <row r="5" spans="1:6" ht="16.5" x14ac:dyDescent="0.3">
      <c r="A5" s="6">
        <v>1</v>
      </c>
      <c r="B5" s="6" t="s">
        <v>139</v>
      </c>
      <c r="C5" s="6" t="s">
        <v>140</v>
      </c>
      <c r="D5" s="6"/>
      <c r="E5" s="6"/>
    </row>
    <row r="6" spans="1:6" ht="16.5" x14ac:dyDescent="0.3">
      <c r="A6" s="6">
        <f t="shared" ref="A6:A69" si="0">A5+1</f>
        <v>2</v>
      </c>
      <c r="B6" s="6" t="s">
        <v>141</v>
      </c>
      <c r="C6" s="6" t="s">
        <v>142</v>
      </c>
      <c r="D6" s="6"/>
      <c r="E6" s="6"/>
    </row>
    <row r="7" spans="1:6" ht="16.5" x14ac:dyDescent="0.3">
      <c r="A7" s="6">
        <f t="shared" si="0"/>
        <v>3</v>
      </c>
      <c r="B7" s="6" t="s">
        <v>143</v>
      </c>
      <c r="C7" s="6" t="s">
        <v>144</v>
      </c>
      <c r="D7" s="6"/>
      <c r="E7" s="6"/>
    </row>
    <row r="8" spans="1:6" ht="16.5" x14ac:dyDescent="0.3">
      <c r="A8" s="6">
        <f t="shared" si="0"/>
        <v>4</v>
      </c>
      <c r="B8" s="6" t="s">
        <v>145</v>
      </c>
      <c r="C8" s="6" t="s">
        <v>146</v>
      </c>
      <c r="D8" s="6"/>
      <c r="E8" s="6"/>
    </row>
    <row r="9" spans="1:6" ht="16.5" x14ac:dyDescent="0.3">
      <c r="A9" s="6">
        <f t="shared" si="0"/>
        <v>5</v>
      </c>
      <c r="B9" s="6" t="s">
        <v>147</v>
      </c>
      <c r="C9" s="6" t="s">
        <v>148</v>
      </c>
      <c r="D9" s="6"/>
      <c r="E9" s="6"/>
    </row>
    <row r="10" spans="1:6" ht="16.5" x14ac:dyDescent="0.3">
      <c r="A10" s="6">
        <f t="shared" si="0"/>
        <v>6</v>
      </c>
      <c r="B10" s="6" t="s">
        <v>149</v>
      </c>
      <c r="C10" s="6" t="s">
        <v>150</v>
      </c>
      <c r="D10" s="6"/>
      <c r="E10" s="6"/>
    </row>
    <row r="11" spans="1:6" ht="16.5" x14ac:dyDescent="0.3">
      <c r="A11" s="6">
        <f t="shared" si="0"/>
        <v>7</v>
      </c>
      <c r="B11" s="6" t="s">
        <v>151</v>
      </c>
      <c r="C11" s="6" t="s">
        <v>152</v>
      </c>
      <c r="D11" s="6"/>
      <c r="E11" s="6"/>
    </row>
    <row r="12" spans="1:6" ht="16.5" x14ac:dyDescent="0.3">
      <c r="A12" s="6">
        <f t="shared" si="0"/>
        <v>8</v>
      </c>
      <c r="B12" s="6" t="s">
        <v>153</v>
      </c>
      <c r="C12" s="6" t="s">
        <v>154</v>
      </c>
      <c r="D12" s="6"/>
      <c r="E12" s="6"/>
    </row>
    <row r="13" spans="1:6" ht="16.5" x14ac:dyDescent="0.3">
      <c r="A13" s="6">
        <f t="shared" si="0"/>
        <v>9</v>
      </c>
      <c r="B13" s="6" t="s">
        <v>155</v>
      </c>
      <c r="C13" s="6" t="s">
        <v>156</v>
      </c>
      <c r="D13" s="6"/>
      <c r="E13" s="6"/>
    </row>
    <row r="14" spans="1:6" ht="16.5" x14ac:dyDescent="0.3">
      <c r="A14" s="6">
        <f t="shared" si="0"/>
        <v>10</v>
      </c>
      <c r="B14" s="6" t="s">
        <v>157</v>
      </c>
      <c r="C14" s="6" t="s">
        <v>158</v>
      </c>
      <c r="D14" s="6"/>
      <c r="E14" s="6"/>
    </row>
    <row r="15" spans="1:6" ht="16.5" x14ac:dyDescent="0.3">
      <c r="A15" s="6">
        <f t="shared" si="0"/>
        <v>11</v>
      </c>
      <c r="B15" s="6" t="s">
        <v>159</v>
      </c>
      <c r="C15" s="6" t="s">
        <v>160</v>
      </c>
      <c r="D15" s="6"/>
      <c r="E15" s="6"/>
    </row>
    <row r="16" spans="1:6" ht="16.5" x14ac:dyDescent="0.3">
      <c r="A16" s="6">
        <f t="shared" si="0"/>
        <v>12</v>
      </c>
      <c r="B16" s="6" t="s">
        <v>161</v>
      </c>
      <c r="C16" s="6" t="s">
        <v>162</v>
      </c>
      <c r="D16" s="6"/>
      <c r="E16" s="6"/>
    </row>
    <row r="17" spans="1:5" ht="16.5" x14ac:dyDescent="0.3">
      <c r="A17" s="6">
        <f t="shared" si="0"/>
        <v>13</v>
      </c>
      <c r="B17" s="6" t="s">
        <v>163</v>
      </c>
      <c r="C17" s="6" t="s">
        <v>164</v>
      </c>
      <c r="D17" s="6"/>
      <c r="E17" s="6"/>
    </row>
    <row r="18" spans="1:5" ht="16.5" x14ac:dyDescent="0.3">
      <c r="A18" s="6">
        <f t="shared" si="0"/>
        <v>14</v>
      </c>
      <c r="B18" s="6" t="s">
        <v>165</v>
      </c>
      <c r="C18" s="6" t="s">
        <v>166</v>
      </c>
      <c r="D18" s="6"/>
      <c r="E18" s="6"/>
    </row>
    <row r="19" spans="1:5" ht="16.5" x14ac:dyDescent="0.3">
      <c r="A19" s="6">
        <f t="shared" si="0"/>
        <v>15</v>
      </c>
      <c r="B19" s="6" t="s">
        <v>167</v>
      </c>
      <c r="C19" s="6" t="s">
        <v>168</v>
      </c>
      <c r="D19" s="6"/>
      <c r="E19" s="6"/>
    </row>
    <row r="20" spans="1:5" ht="16.5" x14ac:dyDescent="0.3">
      <c r="A20" s="6">
        <f t="shared" si="0"/>
        <v>16</v>
      </c>
      <c r="B20" s="6" t="s">
        <v>169</v>
      </c>
      <c r="C20" s="6" t="s">
        <v>170</v>
      </c>
      <c r="D20" s="6"/>
      <c r="E20" s="6"/>
    </row>
    <row r="21" spans="1:5" ht="16.5" x14ac:dyDescent="0.3">
      <c r="A21" s="6">
        <f t="shared" si="0"/>
        <v>17</v>
      </c>
      <c r="B21" s="6" t="s">
        <v>171</v>
      </c>
      <c r="C21" s="6" t="s">
        <v>172</v>
      </c>
      <c r="D21" s="6"/>
      <c r="E21" s="6"/>
    </row>
    <row r="22" spans="1:5" ht="16.5" x14ac:dyDescent="0.3">
      <c r="A22" s="6">
        <f t="shared" si="0"/>
        <v>18</v>
      </c>
      <c r="B22" s="6" t="s">
        <v>173</v>
      </c>
      <c r="C22" s="6" t="s">
        <v>174</v>
      </c>
      <c r="D22" s="6"/>
      <c r="E22" s="6"/>
    </row>
    <row r="23" spans="1:5" ht="16.5" x14ac:dyDescent="0.3">
      <c r="A23" s="6">
        <f t="shared" si="0"/>
        <v>19</v>
      </c>
      <c r="B23" s="6" t="s">
        <v>175</v>
      </c>
      <c r="C23" s="6" t="s">
        <v>176</v>
      </c>
      <c r="D23" s="6"/>
      <c r="E23" s="6"/>
    </row>
    <row r="24" spans="1:5" ht="16.5" x14ac:dyDescent="0.3">
      <c r="A24" s="6">
        <f t="shared" si="0"/>
        <v>20</v>
      </c>
      <c r="B24" s="6" t="s">
        <v>177</v>
      </c>
      <c r="C24" s="6" t="s">
        <v>178</v>
      </c>
      <c r="D24" s="6"/>
      <c r="E24" s="6"/>
    </row>
    <row r="25" spans="1:5" ht="16.5" x14ac:dyDescent="0.3">
      <c r="A25" s="6">
        <f t="shared" si="0"/>
        <v>21</v>
      </c>
      <c r="B25" s="6" t="s">
        <v>179</v>
      </c>
      <c r="C25" s="6" t="s">
        <v>180</v>
      </c>
      <c r="D25" s="6"/>
      <c r="E25" s="6"/>
    </row>
    <row r="26" spans="1:5" ht="16.5" x14ac:dyDescent="0.3">
      <c r="A26" s="6">
        <f t="shared" si="0"/>
        <v>22</v>
      </c>
      <c r="B26" s="6" t="s">
        <v>181</v>
      </c>
      <c r="C26" s="6" t="s">
        <v>182</v>
      </c>
      <c r="D26" s="6"/>
      <c r="E26" s="6"/>
    </row>
    <row r="27" spans="1:5" ht="16.5" x14ac:dyDescent="0.3">
      <c r="A27" s="6">
        <f t="shared" si="0"/>
        <v>23</v>
      </c>
      <c r="B27" s="6" t="s">
        <v>183</v>
      </c>
      <c r="C27" s="6" t="s">
        <v>184</v>
      </c>
      <c r="D27" s="6"/>
      <c r="E27" s="6"/>
    </row>
    <row r="28" spans="1:5" ht="16.5" x14ac:dyDescent="0.3">
      <c r="A28" s="6">
        <f t="shared" si="0"/>
        <v>24</v>
      </c>
      <c r="B28" s="6" t="s">
        <v>185</v>
      </c>
      <c r="C28" s="6" t="s">
        <v>186</v>
      </c>
      <c r="D28" s="6"/>
      <c r="E28" s="6"/>
    </row>
    <row r="29" spans="1:5" ht="16.5" x14ac:dyDescent="0.3">
      <c r="A29" s="6">
        <f t="shared" si="0"/>
        <v>25</v>
      </c>
      <c r="B29" s="6" t="s">
        <v>187</v>
      </c>
      <c r="C29" s="6" t="s">
        <v>188</v>
      </c>
      <c r="D29" s="6"/>
      <c r="E29" s="6"/>
    </row>
    <row r="30" spans="1:5" ht="16.5" x14ac:dyDescent="0.3">
      <c r="A30" s="6">
        <f t="shared" si="0"/>
        <v>26</v>
      </c>
      <c r="B30" s="6" t="s">
        <v>189</v>
      </c>
      <c r="C30" s="6" t="s">
        <v>189</v>
      </c>
      <c r="D30" s="6"/>
      <c r="E30" s="6"/>
    </row>
    <row r="31" spans="1:5" ht="16.5" x14ac:dyDescent="0.3">
      <c r="A31" s="6">
        <f t="shared" si="0"/>
        <v>27</v>
      </c>
      <c r="B31" s="6" t="s">
        <v>190</v>
      </c>
      <c r="C31" s="6" t="s">
        <v>191</v>
      </c>
      <c r="D31" s="6"/>
      <c r="E31" s="6"/>
    </row>
    <row r="32" spans="1:5" ht="16.5" x14ac:dyDescent="0.3">
      <c r="A32" s="6">
        <f t="shared" si="0"/>
        <v>28</v>
      </c>
      <c r="B32" s="6" t="s">
        <v>192</v>
      </c>
      <c r="C32" s="6" t="s">
        <v>193</v>
      </c>
      <c r="D32" s="6"/>
      <c r="E32" s="6"/>
    </row>
    <row r="33" spans="1:5" ht="16.5" x14ac:dyDescent="0.3">
      <c r="A33" s="6">
        <f t="shared" si="0"/>
        <v>29</v>
      </c>
      <c r="B33" s="6" t="s">
        <v>194</v>
      </c>
      <c r="C33" s="6" t="s">
        <v>195</v>
      </c>
      <c r="D33" s="6"/>
      <c r="E33" s="6"/>
    </row>
    <row r="34" spans="1:5" ht="16.5" x14ac:dyDescent="0.3">
      <c r="A34" s="6">
        <f t="shared" si="0"/>
        <v>30</v>
      </c>
      <c r="B34" s="6" t="s">
        <v>196</v>
      </c>
      <c r="C34" s="6" t="s">
        <v>197</v>
      </c>
      <c r="D34" s="6"/>
      <c r="E34" s="6"/>
    </row>
    <row r="35" spans="1:5" ht="16.5" x14ac:dyDescent="0.3">
      <c r="A35" s="6">
        <f t="shared" si="0"/>
        <v>31</v>
      </c>
      <c r="B35" s="6" t="s">
        <v>198</v>
      </c>
      <c r="C35" s="6" t="s">
        <v>199</v>
      </c>
      <c r="D35" s="6"/>
      <c r="E35" s="6"/>
    </row>
    <row r="36" spans="1:5" ht="16.5" x14ac:dyDescent="0.3">
      <c r="A36" s="6">
        <f t="shared" si="0"/>
        <v>32</v>
      </c>
      <c r="B36" s="6" t="s">
        <v>200</v>
      </c>
      <c r="C36" s="6" t="s">
        <v>201</v>
      </c>
      <c r="D36" s="6"/>
      <c r="E36" s="6"/>
    </row>
    <row r="37" spans="1:5" ht="16.5" x14ac:dyDescent="0.3">
      <c r="A37" s="6">
        <f t="shared" si="0"/>
        <v>33</v>
      </c>
      <c r="B37" s="6" t="s">
        <v>202</v>
      </c>
      <c r="C37" s="6" t="s">
        <v>203</v>
      </c>
      <c r="D37" s="6"/>
      <c r="E37" s="6"/>
    </row>
    <row r="38" spans="1:5" ht="16.5" x14ac:dyDescent="0.3">
      <c r="A38" s="6">
        <f t="shared" si="0"/>
        <v>34</v>
      </c>
      <c r="B38" s="6" t="s">
        <v>204</v>
      </c>
      <c r="C38" s="6" t="s">
        <v>205</v>
      </c>
      <c r="D38" s="6"/>
      <c r="E38" s="6"/>
    </row>
    <row r="39" spans="1:5" ht="16.5" x14ac:dyDescent="0.3">
      <c r="A39" s="6">
        <f t="shared" si="0"/>
        <v>35</v>
      </c>
      <c r="B39" s="6" t="s">
        <v>206</v>
      </c>
      <c r="C39" s="6" t="s">
        <v>207</v>
      </c>
      <c r="D39" s="6"/>
      <c r="E39" s="6"/>
    </row>
    <row r="40" spans="1:5" ht="16.5" x14ac:dyDescent="0.3">
      <c r="A40" s="6">
        <f t="shared" si="0"/>
        <v>36</v>
      </c>
      <c r="B40" s="6" t="s">
        <v>90</v>
      </c>
      <c r="C40" s="6" t="s">
        <v>208</v>
      </c>
      <c r="D40" s="6"/>
      <c r="E40" s="6"/>
    </row>
    <row r="41" spans="1:5" ht="16.5" x14ac:dyDescent="0.3">
      <c r="A41" s="6">
        <f t="shared" si="0"/>
        <v>37</v>
      </c>
      <c r="B41" s="6" t="s">
        <v>209</v>
      </c>
      <c r="C41" s="6" t="s">
        <v>210</v>
      </c>
      <c r="D41" s="6"/>
      <c r="E41" s="6"/>
    </row>
    <row r="42" spans="1:5" ht="16.5" x14ac:dyDescent="0.3">
      <c r="A42" s="6">
        <f t="shared" si="0"/>
        <v>38</v>
      </c>
      <c r="B42" s="6" t="s">
        <v>211</v>
      </c>
      <c r="C42" s="6" t="s">
        <v>212</v>
      </c>
      <c r="D42" s="6"/>
      <c r="E42" s="6"/>
    </row>
    <row r="43" spans="1:5" ht="16.5" x14ac:dyDescent="0.3">
      <c r="A43" s="6">
        <f t="shared" si="0"/>
        <v>39</v>
      </c>
      <c r="B43" s="6" t="s">
        <v>213</v>
      </c>
      <c r="C43" s="6" t="s">
        <v>214</v>
      </c>
      <c r="D43" s="6"/>
      <c r="E43" s="6"/>
    </row>
    <row r="44" spans="1:5" ht="16.5" x14ac:dyDescent="0.3">
      <c r="A44" s="6">
        <f t="shared" si="0"/>
        <v>40</v>
      </c>
      <c r="B44" s="6" t="s">
        <v>215</v>
      </c>
      <c r="C44" s="6" t="s">
        <v>216</v>
      </c>
      <c r="D44" s="6"/>
      <c r="E44" s="6"/>
    </row>
    <row r="45" spans="1:5" ht="16.5" x14ac:dyDescent="0.3">
      <c r="A45" s="6">
        <f t="shared" si="0"/>
        <v>41</v>
      </c>
      <c r="B45" s="6" t="s">
        <v>217</v>
      </c>
      <c r="C45" s="6" t="s">
        <v>16</v>
      </c>
      <c r="D45" s="6"/>
      <c r="E45" s="6"/>
    </row>
    <row r="46" spans="1:5" ht="16.5" x14ac:dyDescent="0.3">
      <c r="A46" s="6">
        <f t="shared" si="0"/>
        <v>42</v>
      </c>
      <c r="B46" s="6" t="s">
        <v>218</v>
      </c>
      <c r="C46" s="6" t="s">
        <v>219</v>
      </c>
      <c r="D46" s="6"/>
      <c r="E46" s="6"/>
    </row>
    <row r="47" spans="1:5" ht="16.5" x14ac:dyDescent="0.3">
      <c r="A47" s="6">
        <f t="shared" si="0"/>
        <v>43</v>
      </c>
      <c r="B47" s="6" t="s">
        <v>220</v>
      </c>
      <c r="C47" s="6" t="s">
        <v>221</v>
      </c>
      <c r="D47" s="6"/>
      <c r="E47" s="6"/>
    </row>
    <row r="48" spans="1:5" ht="16.5" x14ac:dyDescent="0.3">
      <c r="A48" s="6">
        <f t="shared" si="0"/>
        <v>44</v>
      </c>
      <c r="B48" s="6" t="s">
        <v>222</v>
      </c>
      <c r="C48" s="6" t="s">
        <v>223</v>
      </c>
      <c r="D48" s="6"/>
      <c r="E48" s="6"/>
    </row>
    <row r="49" spans="1:5" ht="16.5" x14ac:dyDescent="0.3">
      <c r="A49" s="6">
        <f t="shared" si="0"/>
        <v>45</v>
      </c>
      <c r="B49" s="6" t="s">
        <v>224</v>
      </c>
      <c r="C49" s="6" t="s">
        <v>225</v>
      </c>
      <c r="D49" s="6"/>
      <c r="E49" s="6"/>
    </row>
    <row r="50" spans="1:5" ht="16.5" x14ac:dyDescent="0.3">
      <c r="A50" s="6">
        <f t="shared" si="0"/>
        <v>46</v>
      </c>
      <c r="B50" s="6" t="s">
        <v>226</v>
      </c>
      <c r="C50" s="6" t="s">
        <v>227</v>
      </c>
      <c r="D50" s="6"/>
      <c r="E50" s="6"/>
    </row>
    <row r="51" spans="1:5" ht="16.5" x14ac:dyDescent="0.3">
      <c r="A51" s="6">
        <f t="shared" si="0"/>
        <v>47</v>
      </c>
      <c r="B51" s="6" t="s">
        <v>228</v>
      </c>
      <c r="C51" s="6" t="s">
        <v>229</v>
      </c>
      <c r="D51" s="6"/>
      <c r="E51" s="6"/>
    </row>
    <row r="52" spans="1:5" ht="16.5" x14ac:dyDescent="0.3">
      <c r="A52" s="6">
        <f t="shared" si="0"/>
        <v>48</v>
      </c>
      <c r="B52" s="6" t="s">
        <v>230</v>
      </c>
      <c r="C52" s="6" t="s">
        <v>231</v>
      </c>
      <c r="D52" s="6"/>
      <c r="E52" s="6"/>
    </row>
    <row r="53" spans="1:5" ht="16.5" x14ac:dyDescent="0.3">
      <c r="A53" s="6">
        <f t="shared" si="0"/>
        <v>49</v>
      </c>
      <c r="B53" s="6" t="s">
        <v>232</v>
      </c>
      <c r="C53" s="6" t="s">
        <v>233</v>
      </c>
      <c r="D53" s="6"/>
      <c r="E53" s="6"/>
    </row>
    <row r="54" spans="1:5" ht="16.5" x14ac:dyDescent="0.3">
      <c r="A54" s="6">
        <f t="shared" si="0"/>
        <v>50</v>
      </c>
      <c r="B54" s="6" t="s">
        <v>234</v>
      </c>
      <c r="C54" s="6" t="s">
        <v>235</v>
      </c>
      <c r="D54" s="6"/>
      <c r="E54" s="6"/>
    </row>
    <row r="55" spans="1:5" ht="16.5" x14ac:dyDescent="0.3">
      <c r="A55" s="6">
        <f t="shared" si="0"/>
        <v>51</v>
      </c>
      <c r="B55" s="6" t="s">
        <v>236</v>
      </c>
      <c r="C55" s="6" t="s">
        <v>237</v>
      </c>
      <c r="D55" s="6"/>
      <c r="E55" s="6"/>
    </row>
    <row r="56" spans="1:5" ht="16.5" x14ac:dyDescent="0.3">
      <c r="A56" s="6">
        <f t="shared" si="0"/>
        <v>52</v>
      </c>
      <c r="B56" s="6" t="s">
        <v>238</v>
      </c>
      <c r="C56" s="6" t="s">
        <v>239</v>
      </c>
      <c r="D56" s="6"/>
      <c r="E56" s="6"/>
    </row>
    <row r="57" spans="1:5" ht="16.5" x14ac:dyDescent="0.3">
      <c r="A57" s="6">
        <f t="shared" si="0"/>
        <v>53</v>
      </c>
      <c r="B57" s="6" t="s">
        <v>240</v>
      </c>
      <c r="C57" s="6" t="s">
        <v>241</v>
      </c>
      <c r="D57" s="6"/>
      <c r="E57" s="6"/>
    </row>
    <row r="58" spans="1:5" ht="16.5" x14ac:dyDescent="0.3">
      <c r="A58" s="6">
        <f t="shared" si="0"/>
        <v>54</v>
      </c>
      <c r="B58" s="6" t="s">
        <v>242</v>
      </c>
      <c r="C58" s="6" t="s">
        <v>243</v>
      </c>
      <c r="D58" s="6"/>
      <c r="E58" s="6"/>
    </row>
    <row r="59" spans="1:5" ht="16.5" x14ac:dyDescent="0.3">
      <c r="A59" s="6">
        <f t="shared" si="0"/>
        <v>55</v>
      </c>
      <c r="B59" s="6" t="s">
        <v>244</v>
      </c>
      <c r="C59" s="6" t="s">
        <v>245</v>
      </c>
      <c r="D59" s="6"/>
      <c r="E59" s="6"/>
    </row>
    <row r="60" spans="1:5" ht="16.5" x14ac:dyDescent="0.3">
      <c r="A60" s="6">
        <f t="shared" si="0"/>
        <v>56</v>
      </c>
      <c r="B60" s="6" t="s">
        <v>246</v>
      </c>
      <c r="C60" s="6" t="s">
        <v>247</v>
      </c>
      <c r="D60" s="6"/>
      <c r="E60" s="6"/>
    </row>
    <row r="61" spans="1:5" ht="16.5" x14ac:dyDescent="0.3">
      <c r="A61" s="6">
        <f t="shared" si="0"/>
        <v>57</v>
      </c>
      <c r="B61" s="6" t="s">
        <v>248</v>
      </c>
      <c r="C61" s="6" t="s">
        <v>249</v>
      </c>
      <c r="D61" s="6"/>
      <c r="E61" s="6"/>
    </row>
    <row r="62" spans="1:5" ht="16.5" x14ac:dyDescent="0.3">
      <c r="A62" s="6">
        <f t="shared" si="0"/>
        <v>58</v>
      </c>
      <c r="B62" s="6" t="s">
        <v>250</v>
      </c>
      <c r="C62" s="6" t="s">
        <v>251</v>
      </c>
      <c r="D62" s="6"/>
      <c r="E62" s="6"/>
    </row>
    <row r="63" spans="1:5" ht="16.5" x14ac:dyDescent="0.3">
      <c r="A63" s="6">
        <f t="shared" si="0"/>
        <v>59</v>
      </c>
      <c r="B63" s="6" t="s">
        <v>252</v>
      </c>
      <c r="C63" s="6" t="s">
        <v>253</v>
      </c>
      <c r="D63" s="6"/>
      <c r="E63" s="6"/>
    </row>
    <row r="64" spans="1:5" ht="16.5" x14ac:dyDescent="0.3">
      <c r="A64" s="6">
        <f t="shared" si="0"/>
        <v>60</v>
      </c>
      <c r="B64" s="6" t="s">
        <v>17</v>
      </c>
      <c r="C64" s="6" t="s">
        <v>254</v>
      </c>
      <c r="D64" s="6"/>
      <c r="E64" s="6"/>
    </row>
    <row r="65" spans="1:5" ht="16.5" x14ac:dyDescent="0.3">
      <c r="A65" s="6">
        <f t="shared" si="0"/>
        <v>61</v>
      </c>
      <c r="B65" s="6" t="s">
        <v>255</v>
      </c>
      <c r="C65" s="6" t="s">
        <v>256</v>
      </c>
      <c r="D65" s="6"/>
      <c r="E65" s="6"/>
    </row>
    <row r="66" spans="1:5" ht="16.5" x14ac:dyDescent="0.3">
      <c r="A66" s="6">
        <f t="shared" si="0"/>
        <v>62</v>
      </c>
      <c r="B66" s="6" t="s">
        <v>257</v>
      </c>
      <c r="C66" s="6" t="s">
        <v>258</v>
      </c>
      <c r="D66" s="6"/>
      <c r="E66" s="6"/>
    </row>
    <row r="67" spans="1:5" ht="16.5" x14ac:dyDescent="0.3">
      <c r="A67" s="6">
        <f t="shared" si="0"/>
        <v>63</v>
      </c>
      <c r="B67" s="6" t="s">
        <v>259</v>
      </c>
      <c r="C67" s="6" t="s">
        <v>260</v>
      </c>
      <c r="D67" s="6"/>
      <c r="E67" s="6"/>
    </row>
    <row r="68" spans="1:5" ht="16.5" x14ac:dyDescent="0.3">
      <c r="A68" s="6">
        <f t="shared" si="0"/>
        <v>64</v>
      </c>
      <c r="B68" s="6" t="s">
        <v>261</v>
      </c>
      <c r="C68" s="6" t="s">
        <v>262</v>
      </c>
      <c r="D68" s="6"/>
      <c r="E68" s="6"/>
    </row>
    <row r="69" spans="1:5" ht="16.5" x14ac:dyDescent="0.3">
      <c r="A69" s="6">
        <f t="shared" si="0"/>
        <v>65</v>
      </c>
      <c r="B69" s="6" t="s">
        <v>263</v>
      </c>
      <c r="C69" s="6" t="s">
        <v>264</v>
      </c>
      <c r="D69" s="6"/>
      <c r="E69" s="6"/>
    </row>
    <row r="70" spans="1:5" ht="16.5" x14ac:dyDescent="0.3">
      <c r="A70" s="6">
        <f t="shared" ref="A70:A96" si="1">A69+1</f>
        <v>66</v>
      </c>
      <c r="B70" s="6" t="s">
        <v>265</v>
      </c>
      <c r="C70" s="6" t="s">
        <v>266</v>
      </c>
      <c r="D70" s="6"/>
      <c r="E70" s="6"/>
    </row>
    <row r="71" spans="1:5" ht="16.5" x14ac:dyDescent="0.3">
      <c r="A71" s="6">
        <f t="shared" si="1"/>
        <v>67</v>
      </c>
      <c r="B71" s="6" t="s">
        <v>267</v>
      </c>
      <c r="C71" s="6" t="s">
        <v>268</v>
      </c>
      <c r="D71" s="6"/>
      <c r="E71" s="6"/>
    </row>
    <row r="72" spans="1:5" ht="16.5" x14ac:dyDescent="0.3">
      <c r="A72" s="6">
        <f t="shared" si="1"/>
        <v>68</v>
      </c>
      <c r="B72" s="6" t="s">
        <v>269</v>
      </c>
      <c r="C72" s="6" t="s">
        <v>270</v>
      </c>
      <c r="D72" s="6"/>
      <c r="E72" s="6"/>
    </row>
    <row r="73" spans="1:5" ht="16.5" x14ac:dyDescent="0.3">
      <c r="A73" s="6">
        <f t="shared" si="1"/>
        <v>69</v>
      </c>
      <c r="B73" s="6" t="s">
        <v>271</v>
      </c>
      <c r="C73" s="6" t="s">
        <v>272</v>
      </c>
      <c r="D73" s="6"/>
      <c r="E73" s="6"/>
    </row>
    <row r="74" spans="1:5" ht="16.5" x14ac:dyDescent="0.3">
      <c r="A74" s="6">
        <f t="shared" si="1"/>
        <v>70</v>
      </c>
      <c r="B74" s="6" t="s">
        <v>273</v>
      </c>
      <c r="C74" s="6" t="s">
        <v>274</v>
      </c>
      <c r="D74" s="6"/>
      <c r="E74" s="6"/>
    </row>
    <row r="75" spans="1:5" ht="16.5" x14ac:dyDescent="0.3">
      <c r="A75" s="6">
        <f t="shared" si="1"/>
        <v>71</v>
      </c>
      <c r="B75" s="6" t="s">
        <v>19</v>
      </c>
      <c r="C75" s="6" t="s">
        <v>275</v>
      </c>
      <c r="D75" s="6"/>
      <c r="E75" s="6"/>
    </row>
    <row r="76" spans="1:5" ht="16.5" x14ac:dyDescent="0.3">
      <c r="A76" s="6">
        <f t="shared" si="1"/>
        <v>72</v>
      </c>
      <c r="B76" s="6" t="s">
        <v>276</v>
      </c>
      <c r="C76" s="6" t="s">
        <v>277</v>
      </c>
      <c r="D76" s="6"/>
      <c r="E76" s="6"/>
    </row>
    <row r="77" spans="1:5" ht="16.5" x14ac:dyDescent="0.3">
      <c r="A77" s="6">
        <f t="shared" si="1"/>
        <v>73</v>
      </c>
      <c r="B77" s="6" t="s">
        <v>278</v>
      </c>
      <c r="C77" s="6" t="s">
        <v>279</v>
      </c>
      <c r="D77" s="6"/>
      <c r="E77" s="6"/>
    </row>
    <row r="78" spans="1:5" ht="16.5" x14ac:dyDescent="0.3">
      <c r="A78" s="6">
        <f t="shared" si="1"/>
        <v>74</v>
      </c>
      <c r="B78" s="6" t="s">
        <v>280</v>
      </c>
      <c r="C78" s="6" t="s">
        <v>281</v>
      </c>
      <c r="D78" s="6"/>
      <c r="E78" s="6"/>
    </row>
    <row r="79" spans="1:5" ht="16.5" x14ac:dyDescent="0.3">
      <c r="A79" s="6">
        <f t="shared" si="1"/>
        <v>75</v>
      </c>
      <c r="B79" s="6" t="s">
        <v>282</v>
      </c>
      <c r="C79" s="6" t="s">
        <v>283</v>
      </c>
      <c r="D79" s="6"/>
      <c r="E79" s="6"/>
    </row>
    <row r="80" spans="1:5" ht="16.5" x14ac:dyDescent="0.3">
      <c r="A80" s="6">
        <f t="shared" si="1"/>
        <v>76</v>
      </c>
      <c r="B80" s="6" t="s">
        <v>284</v>
      </c>
      <c r="C80" s="6" t="s">
        <v>285</v>
      </c>
      <c r="D80" s="6"/>
      <c r="E80" s="6"/>
    </row>
    <row r="81" spans="1:5" x14ac:dyDescent="0.4">
      <c r="A81" s="6">
        <f t="shared" si="1"/>
        <v>77</v>
      </c>
      <c r="B81" s="6" t="s">
        <v>286</v>
      </c>
      <c r="C81" s="6" t="s">
        <v>287</v>
      </c>
    </row>
    <row r="82" spans="1:5" ht="16.5" x14ac:dyDescent="0.3">
      <c r="A82" s="6">
        <f t="shared" si="1"/>
        <v>78</v>
      </c>
      <c r="B82" s="6" t="s">
        <v>288</v>
      </c>
      <c r="C82" s="6" t="s">
        <v>289</v>
      </c>
      <c r="D82" s="6"/>
      <c r="E82" s="6"/>
    </row>
    <row r="83" spans="1:5" ht="16.5" x14ac:dyDescent="0.3">
      <c r="A83" s="6">
        <f t="shared" si="1"/>
        <v>79</v>
      </c>
      <c r="B83" s="6" t="s">
        <v>290</v>
      </c>
      <c r="C83" s="6" t="s">
        <v>288</v>
      </c>
      <c r="D83" s="6"/>
      <c r="E83" s="6"/>
    </row>
    <row r="84" spans="1:5" ht="16.5" x14ac:dyDescent="0.3">
      <c r="A84" s="6">
        <f t="shared" si="1"/>
        <v>80</v>
      </c>
      <c r="B84" s="6" t="s">
        <v>291</v>
      </c>
      <c r="C84" s="6" t="s">
        <v>292</v>
      </c>
      <c r="D84" s="6"/>
      <c r="E84" s="6"/>
    </row>
    <row r="85" spans="1:5" ht="16.5" x14ac:dyDescent="0.3">
      <c r="A85" s="6">
        <f t="shared" si="1"/>
        <v>81</v>
      </c>
      <c r="B85" s="6" t="s">
        <v>293</v>
      </c>
      <c r="C85" s="6" t="s">
        <v>294</v>
      </c>
      <c r="D85" s="6"/>
      <c r="E85" s="6"/>
    </row>
    <row r="86" spans="1:5" ht="16.5" x14ac:dyDescent="0.3">
      <c r="A86" s="6">
        <f t="shared" si="1"/>
        <v>82</v>
      </c>
      <c r="B86" s="6" t="s">
        <v>295</v>
      </c>
      <c r="C86" s="6" t="s">
        <v>296</v>
      </c>
      <c r="D86" s="6"/>
      <c r="E86" s="6"/>
    </row>
    <row r="87" spans="1:5" ht="16.5" x14ac:dyDescent="0.3">
      <c r="A87" s="6">
        <f t="shared" si="1"/>
        <v>83</v>
      </c>
      <c r="B87" s="6" t="s">
        <v>297</v>
      </c>
      <c r="C87" s="6" t="s">
        <v>298</v>
      </c>
      <c r="D87" s="6"/>
      <c r="E87" s="6"/>
    </row>
    <row r="88" spans="1:5" ht="16.5" x14ac:dyDescent="0.3">
      <c r="A88" s="6">
        <f t="shared" si="1"/>
        <v>84</v>
      </c>
      <c r="B88" s="6" t="s">
        <v>299</v>
      </c>
      <c r="C88" s="6" t="s">
        <v>300</v>
      </c>
      <c r="D88" s="6"/>
      <c r="E88" s="6"/>
    </row>
    <row r="89" spans="1:5" ht="16.5" x14ac:dyDescent="0.3">
      <c r="A89" s="6">
        <f t="shared" si="1"/>
        <v>85</v>
      </c>
      <c r="B89" s="6" t="s">
        <v>92</v>
      </c>
      <c r="C89" s="6" t="s">
        <v>17</v>
      </c>
      <c r="D89" s="6"/>
      <c r="E89" s="6"/>
    </row>
    <row r="90" spans="1:5" ht="16.5" x14ac:dyDescent="0.3">
      <c r="A90" s="6">
        <f t="shared" si="1"/>
        <v>86</v>
      </c>
      <c r="B90" s="6" t="s">
        <v>301</v>
      </c>
      <c r="C90" s="6" t="s">
        <v>302</v>
      </c>
      <c r="D90" s="6"/>
      <c r="E90" s="6"/>
    </row>
    <row r="91" spans="1:5" ht="16.5" x14ac:dyDescent="0.3">
      <c r="A91" s="6">
        <f t="shared" si="1"/>
        <v>87</v>
      </c>
      <c r="B91" s="6" t="s">
        <v>303</v>
      </c>
      <c r="C91" s="6" t="s">
        <v>304</v>
      </c>
      <c r="D91" s="6"/>
      <c r="E91" s="6"/>
    </row>
    <row r="92" spans="1:5" ht="16.5" x14ac:dyDescent="0.3">
      <c r="A92" s="6">
        <f t="shared" si="1"/>
        <v>88</v>
      </c>
      <c r="B92" s="6" t="s">
        <v>91</v>
      </c>
      <c r="C92" s="6" t="s">
        <v>305</v>
      </c>
      <c r="D92" s="6"/>
      <c r="E92" s="6"/>
    </row>
    <row r="93" spans="1:5" ht="16.5" x14ac:dyDescent="0.3">
      <c r="A93" s="6">
        <f t="shared" si="1"/>
        <v>89</v>
      </c>
      <c r="B93" s="6" t="s">
        <v>306</v>
      </c>
      <c r="C93" s="6" t="s">
        <v>307</v>
      </c>
      <c r="D93" s="6"/>
      <c r="E93" s="6"/>
    </row>
    <row r="94" spans="1:5" ht="16.5" x14ac:dyDescent="0.3">
      <c r="A94" s="6">
        <f t="shared" si="1"/>
        <v>90</v>
      </c>
      <c r="B94" s="6" t="s">
        <v>308</v>
      </c>
      <c r="C94" s="6" t="s">
        <v>309</v>
      </c>
      <c r="D94" s="6"/>
      <c r="E94" s="6"/>
    </row>
    <row r="95" spans="1:5" ht="16.5" x14ac:dyDescent="0.3">
      <c r="A95" s="6">
        <f t="shared" si="1"/>
        <v>91</v>
      </c>
      <c r="B95" s="6" t="s">
        <v>310</v>
      </c>
      <c r="C95" s="6" t="s">
        <v>311</v>
      </c>
      <c r="D95" s="6"/>
      <c r="E95" s="6"/>
    </row>
    <row r="96" spans="1:5" ht="16.5" x14ac:dyDescent="0.3">
      <c r="A96" s="6">
        <f t="shared" si="1"/>
        <v>92</v>
      </c>
      <c r="B96" s="6" t="s">
        <v>312</v>
      </c>
      <c r="C96" s="6" t="s">
        <v>313</v>
      </c>
      <c r="D96" s="6"/>
      <c r="E96" s="6"/>
    </row>
  </sheetData>
  <pageMargins left="0.51181102362204722" right="0.51181102362204722" top="0.51181102362204722" bottom="0.51181102362204722" header="0.51181102362204722" footer="0.51181102362204722"/>
  <pageSetup paperSize="9" scale="10" orientation="landscape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2060"/>
  </sheetPr>
  <dimension ref="A2:C19"/>
  <sheetViews>
    <sheetView showGridLines="0" showZeros="0" view="pageLayout" topLeftCell="A2" zoomScaleNormal="100" workbookViewId="0">
      <selection activeCell="B8" sqref="B8"/>
    </sheetView>
  </sheetViews>
  <sheetFormatPr baseColWidth="10" defaultRowHeight="15" x14ac:dyDescent="0.25"/>
  <cols>
    <col min="1" max="1" width="14.28515625" style="28" customWidth="1"/>
    <col min="2" max="2" width="54.85546875" style="28" customWidth="1"/>
    <col min="3" max="3" width="14.28515625" style="28" customWidth="1"/>
    <col min="4" max="16384" width="11.42578125" style="28"/>
  </cols>
  <sheetData>
    <row r="2" spans="1:3" ht="15" customHeight="1" thickBot="1" x14ac:dyDescent="0.3">
      <c r="A2" s="231" t="s">
        <v>13</v>
      </c>
      <c r="B2" s="231"/>
    </row>
    <row r="3" spans="1:3" ht="15.75" thickTop="1" x14ac:dyDescent="0.25">
      <c r="A3" s="103"/>
      <c r="B3" s="104"/>
    </row>
    <row r="4" spans="1:3" ht="21" customHeight="1" x14ac:dyDescent="0.25">
      <c r="A4" s="105"/>
      <c r="B4" s="106"/>
    </row>
    <row r="5" spans="1:3" ht="15.75" thickBot="1" x14ac:dyDescent="0.3">
      <c r="A5" s="103"/>
      <c r="B5" s="104"/>
    </row>
    <row r="6" spans="1:3" ht="31.5" customHeight="1" thickTop="1" thickBot="1" x14ac:dyDescent="0.5">
      <c r="A6" s="107" t="s">
        <v>10</v>
      </c>
      <c r="B6" s="10" t="s">
        <v>143</v>
      </c>
    </row>
    <row r="7" spans="1:3" ht="16.5" thickTop="1" thickBot="1" x14ac:dyDescent="0.3">
      <c r="A7" s="108"/>
      <c r="B7" s="109"/>
    </row>
    <row r="8" spans="1:3" ht="30" customHeight="1" thickTop="1" thickBot="1" x14ac:dyDescent="0.5">
      <c r="A8" s="107" t="s">
        <v>9</v>
      </c>
      <c r="B8" s="114" t="str">
        <f>IFERROR(VLOOKUP(B6,Tableau5[[nom_élève]:[SEXE]],2,FALSE),"Desolé!, KARTABLE ne retrouve pa le nom de l' élève saisie")</f>
        <v>MPOYI</v>
      </c>
    </row>
    <row r="9" spans="1:3" ht="16.5" thickTop="1" thickBot="1" x14ac:dyDescent="0.3">
      <c r="A9" s="108"/>
      <c r="B9" s="109"/>
    </row>
    <row r="10" spans="1:3" ht="28.5" customHeight="1" thickTop="1" thickBot="1" x14ac:dyDescent="0.5">
      <c r="A10" s="107" t="s">
        <v>7</v>
      </c>
      <c r="B10" s="114">
        <f>IFERROR(VLOOKUP(B6,Tableau5[[nom_élève]:[SEXE]],3,FALSE),"Desolé!, KARTABLE ne retrouve pa le nom de l' élève saisie")</f>
        <v>0</v>
      </c>
      <c r="C10" s="110"/>
    </row>
    <row r="11" spans="1:3" ht="16.5" thickTop="1" thickBot="1" x14ac:dyDescent="0.3">
      <c r="A11" s="108"/>
      <c r="B11" s="109"/>
    </row>
    <row r="12" spans="1:3" ht="23.25" customHeight="1" thickTop="1" thickBot="1" x14ac:dyDescent="0.5">
      <c r="A12" s="107" t="s">
        <v>8</v>
      </c>
      <c r="B12" s="115">
        <f>IFERROR(VLOOKUP(B6,Tableau5[[nom_élève]:[SEXE]],4,FALSE),"Desolé!, KARTABLE ne retrouve pa le nom de l' élève saisie")</f>
        <v>0</v>
      </c>
    </row>
    <row r="13" spans="1:3" ht="16.5" thickTop="1" thickBot="1" x14ac:dyDescent="0.3">
      <c r="A13" s="108"/>
      <c r="B13" s="109"/>
    </row>
    <row r="14" spans="1:3" ht="21" customHeight="1" thickTop="1" thickBot="1" x14ac:dyDescent="0.5">
      <c r="A14" s="107" t="s">
        <v>12</v>
      </c>
      <c r="B14" s="20">
        <v>45</v>
      </c>
    </row>
    <row r="15" spans="1:3" ht="16.5" thickTop="1" thickBot="1" x14ac:dyDescent="0.3">
      <c r="A15" s="111"/>
      <c r="B15" s="112"/>
    </row>
    <row r="16" spans="1:3" ht="15.75" thickTop="1" x14ac:dyDescent="0.25">
      <c r="A16" s="113"/>
      <c r="B16" s="113"/>
    </row>
    <row r="17" spans="1:2" ht="14.25" customHeight="1" x14ac:dyDescent="0.25">
      <c r="A17" s="113"/>
      <c r="B17" s="113"/>
    </row>
    <row r="18" spans="1:2" hidden="1" x14ac:dyDescent="0.25">
      <c r="A18" s="113"/>
      <c r="B18" s="113"/>
    </row>
    <row r="19" spans="1:2" ht="6" customHeight="1" x14ac:dyDescent="0.25">
      <c r="A19" s="113"/>
      <c r="B19" s="113"/>
    </row>
  </sheetData>
  <sheetProtection algorithmName="SHA-512" hashValue="0HcOflLRuZb5TAXotxT9ug88y5CVo/otODtNb64gF7OveOmgba1po6I9pGI/sgCWsvpPlA0Rh2SB0j7tpYCwKQ==" saltValue="zUELIEHQX+WYIQzpxaf8kg==" spinCount="100000" sheet="1" objects="1" scenarios="1"/>
  <mergeCells count="1">
    <mergeCell ref="A2:B2"/>
  </mergeCells>
  <conditionalFormatting sqref="B14">
    <cfRule type="cellIs" dxfId="209" priority="1" operator="lessThan">
      <formula>50</formula>
    </cfRule>
  </conditionalFormatting>
  <pageMargins left="0.7" right="1.666666666666666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BD!$B$5:$B$96</xm:f>
          </x14:formula1>
          <xm:sqref>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00B0F0"/>
  </sheetPr>
  <dimension ref="A1:K706"/>
  <sheetViews>
    <sheetView showGridLines="0" showZeros="0" view="pageLayout" topLeftCell="A4" zoomScaleNormal="100" workbookViewId="0">
      <selection activeCell="E15" sqref="E15"/>
    </sheetView>
  </sheetViews>
  <sheetFormatPr baseColWidth="10" defaultRowHeight="15.75" x14ac:dyDescent="0.25"/>
  <cols>
    <col min="1" max="1" width="26.7109375" style="116" customWidth="1"/>
    <col min="2" max="2" width="26" style="116" customWidth="1"/>
    <col min="3" max="3" width="16.42578125" style="116" customWidth="1"/>
    <col min="4" max="4" width="6.7109375" style="116" customWidth="1"/>
    <col min="5" max="5" width="7.42578125" style="117" customWidth="1"/>
    <col min="6" max="6" width="14.7109375" style="116" customWidth="1"/>
    <col min="7" max="7" width="5.5703125" style="118" customWidth="1"/>
    <col min="8" max="8" width="15.7109375" style="118" customWidth="1"/>
    <col min="9" max="9" width="7.140625" style="118" customWidth="1"/>
    <col min="10" max="10" width="10.140625" style="118" customWidth="1"/>
    <col min="11" max="11" width="6" style="118" customWidth="1"/>
    <col min="12" max="16384" width="11.42578125" style="118"/>
  </cols>
  <sheetData>
    <row r="1" spans="1:11" ht="31.5" customHeight="1" x14ac:dyDescent="0.25"/>
    <row r="2" spans="1:11" ht="51" customHeight="1" x14ac:dyDescent="0.25"/>
    <row r="3" spans="1:11" ht="45" customHeight="1" x14ac:dyDescent="0.35">
      <c r="A3" s="233" t="s">
        <v>14</v>
      </c>
      <c r="B3" s="234"/>
      <c r="C3" s="234"/>
      <c r="D3" s="234"/>
      <c r="E3" s="234"/>
      <c r="F3" s="234"/>
      <c r="G3" s="119"/>
      <c r="H3" s="138">
        <f>SUMIF(Tableau1[SEXE],"m",Tableau1[%])</f>
        <v>96</v>
      </c>
      <c r="I3" s="138">
        <f>SUMIF(Tableau1[SEXE],"f",Tableau1[%])</f>
        <v>93.5</v>
      </c>
      <c r="J3" s="120"/>
      <c r="K3" s="121"/>
    </row>
    <row r="4" spans="1:11" x14ac:dyDescent="0.25">
      <c r="A4" s="118" t="s">
        <v>10</v>
      </c>
      <c r="B4" s="118" t="s">
        <v>6</v>
      </c>
      <c r="C4" s="118" t="s">
        <v>7</v>
      </c>
      <c r="D4" s="118" t="s">
        <v>8</v>
      </c>
      <c r="E4" s="122" t="s">
        <v>12</v>
      </c>
      <c r="F4" s="123" t="s">
        <v>11</v>
      </c>
      <c r="G4" s="124"/>
      <c r="H4" s="232" t="s">
        <v>24</v>
      </c>
      <c r="I4" s="232"/>
      <c r="J4" s="232"/>
      <c r="K4" s="123"/>
    </row>
    <row r="5" spans="1:11" ht="21" x14ac:dyDescent="0.35">
      <c r="A5" s="118" t="s">
        <v>85</v>
      </c>
      <c r="B5" s="118" t="s">
        <v>86</v>
      </c>
      <c r="C5" s="118">
        <v>0</v>
      </c>
      <c r="D5" s="125" t="s">
        <v>121</v>
      </c>
      <c r="E5" s="125">
        <v>45</v>
      </c>
      <c r="F5" s="126">
        <f>RANK(Tableau1[[#This Row],[%]],Tableau1[%],0)</f>
        <v>2</v>
      </c>
      <c r="G5" s="124"/>
      <c r="H5" s="119" t="s">
        <v>25</v>
      </c>
      <c r="I5" s="139">
        <f>COUNTIFS(Tableau1[SEXE],"M",Tableau1[%],"&gt;=50")</f>
        <v>1</v>
      </c>
      <c r="J5" s="121"/>
      <c r="K5" s="123"/>
    </row>
    <row r="6" spans="1:11" ht="15.75" customHeight="1" x14ac:dyDescent="0.35">
      <c r="A6" s="118" t="s">
        <v>83</v>
      </c>
      <c r="B6" s="118" t="s">
        <v>84</v>
      </c>
      <c r="C6" s="118">
        <v>0</v>
      </c>
      <c r="D6" s="125" t="s">
        <v>122</v>
      </c>
      <c r="E6" s="125">
        <v>45</v>
      </c>
      <c r="F6" s="126">
        <f>RANK(Tableau1[[#This Row],[%]],Tableau1[%],0)</f>
        <v>2</v>
      </c>
      <c r="G6" s="124"/>
      <c r="H6" s="127" t="s">
        <v>26</v>
      </c>
      <c r="I6" s="140">
        <f>COUNTIFS(Tableau1[SEXE],"F",Tableau1[%],"&gt;=50")</f>
        <v>0</v>
      </c>
      <c r="J6" s="128"/>
      <c r="K6" s="123"/>
    </row>
    <row r="7" spans="1:11" ht="17.25" customHeight="1" x14ac:dyDescent="0.25">
      <c r="A7" s="118" t="s">
        <v>81</v>
      </c>
      <c r="B7" s="118" t="s">
        <v>82</v>
      </c>
      <c r="C7" s="118">
        <v>0</v>
      </c>
      <c r="D7" s="125" t="s">
        <v>121</v>
      </c>
      <c r="E7" s="125">
        <v>51</v>
      </c>
      <c r="F7" s="126">
        <f>RANK(Tableau1[[#This Row],[%]],Tableau1[%],0)</f>
        <v>1</v>
      </c>
      <c r="G7" s="124"/>
      <c r="H7" s="129"/>
      <c r="I7" s="129"/>
      <c r="J7" s="129"/>
      <c r="K7" s="123"/>
    </row>
    <row r="8" spans="1:11" ht="16.5" customHeight="1" x14ac:dyDescent="0.25">
      <c r="A8" s="118" t="s">
        <v>80</v>
      </c>
      <c r="B8" s="118" t="s">
        <v>15</v>
      </c>
      <c r="C8" s="118">
        <v>0</v>
      </c>
      <c r="D8" s="125" t="s">
        <v>122</v>
      </c>
      <c r="E8" s="125">
        <v>38.5</v>
      </c>
      <c r="F8" s="126">
        <f>RANK(Tableau1[[#This Row],[%]],Tableau1[%],0)</f>
        <v>4</v>
      </c>
      <c r="G8" s="124"/>
      <c r="H8" s="232" t="s">
        <v>27</v>
      </c>
      <c r="I8" s="232"/>
      <c r="J8" s="232"/>
      <c r="K8" s="123"/>
    </row>
    <row r="9" spans="1:11" ht="16.5" customHeight="1" x14ac:dyDescent="0.35">
      <c r="A9" s="118" t="s">
        <v>88</v>
      </c>
      <c r="B9" s="118" t="s">
        <v>89</v>
      </c>
      <c r="C9" s="118">
        <v>0</v>
      </c>
      <c r="D9" s="125" t="s">
        <v>122</v>
      </c>
      <c r="E9" s="125">
        <v>10</v>
      </c>
      <c r="F9" s="126">
        <f>RANK(Tableau1[[#This Row],[%]],Tableau1[%],0)</f>
        <v>5</v>
      </c>
      <c r="G9" s="124"/>
      <c r="H9" s="119" t="s">
        <v>25</v>
      </c>
      <c r="I9" s="139">
        <f>COUNTIFS(Tableau1[SEXE],"M",Tableau1[%],"&lt;=49,9")</f>
        <v>1</v>
      </c>
      <c r="J9" s="121"/>
      <c r="K9" s="123"/>
    </row>
    <row r="10" spans="1:11" ht="16.5" customHeight="1" x14ac:dyDescent="0.35">
      <c r="A10" s="28"/>
      <c r="B10" s="28"/>
      <c r="C10" s="28"/>
      <c r="D10" s="28"/>
      <c r="E10" s="130"/>
      <c r="F10" s="28"/>
      <c r="G10" s="124"/>
      <c r="H10" s="127" t="s">
        <v>26</v>
      </c>
      <c r="I10" s="140">
        <f>COUNTIFS(Tableau1[SEXE],"F",Tableau1[%],"&lt;=49,9")</f>
        <v>3</v>
      </c>
      <c r="J10" s="128"/>
      <c r="K10" s="123"/>
    </row>
    <row r="11" spans="1:11" ht="16.5" customHeight="1" x14ac:dyDescent="0.25">
      <c r="A11" s="28"/>
      <c r="B11" s="28"/>
      <c r="C11" s="28"/>
      <c r="D11" s="28"/>
      <c r="E11" s="130"/>
      <c r="F11" s="28"/>
      <c r="G11" s="124"/>
      <c r="H11" s="129"/>
      <c r="I11" s="129"/>
      <c r="J11" s="129"/>
      <c r="K11" s="123"/>
    </row>
    <row r="12" spans="1:11" ht="16.5" customHeight="1" x14ac:dyDescent="0.25">
      <c r="A12" s="118"/>
      <c r="B12" s="118"/>
      <c r="C12" s="118"/>
      <c r="D12" s="118"/>
      <c r="E12" s="122"/>
      <c r="F12" s="118"/>
      <c r="G12" s="124"/>
      <c r="H12" s="232" t="s">
        <v>30</v>
      </c>
      <c r="I12" s="232"/>
      <c r="J12" s="232"/>
      <c r="K12" s="123"/>
    </row>
    <row r="13" spans="1:11" ht="16.5" customHeight="1" x14ac:dyDescent="0.35">
      <c r="A13" s="118"/>
      <c r="B13" s="118"/>
      <c r="D13" s="118"/>
      <c r="E13" s="122"/>
      <c r="F13" s="118"/>
      <c r="G13" s="124"/>
      <c r="H13" s="119" t="s">
        <v>25</v>
      </c>
      <c r="I13" s="139">
        <f>AVERAGE(H3/(I5+I9))</f>
        <v>48</v>
      </c>
      <c r="J13" s="121"/>
      <c r="K13" s="123"/>
    </row>
    <row r="14" spans="1:11" ht="15.75" customHeight="1" x14ac:dyDescent="0.35">
      <c r="A14" s="118"/>
      <c r="B14" s="118"/>
      <c r="C14" s="118"/>
      <c r="D14" s="118"/>
      <c r="E14" s="122"/>
      <c r="F14" s="118"/>
      <c r="G14" s="124"/>
      <c r="H14" s="127" t="s">
        <v>26</v>
      </c>
      <c r="I14" s="140">
        <f>AVERAGE(I3/(I6+I10))</f>
        <v>31.166666666666668</v>
      </c>
      <c r="J14" s="128"/>
      <c r="K14" s="123"/>
    </row>
    <row r="15" spans="1:11" ht="15.75" customHeight="1" x14ac:dyDescent="0.35">
      <c r="A15" s="118"/>
      <c r="B15" s="118"/>
      <c r="C15" s="118"/>
      <c r="D15" s="118"/>
      <c r="E15" s="122"/>
      <c r="F15" s="118"/>
      <c r="G15" s="124"/>
      <c r="H15" s="129"/>
      <c r="I15" s="131"/>
      <c r="J15" s="129"/>
      <c r="K15" s="123"/>
    </row>
    <row r="16" spans="1:11" ht="15.75" customHeight="1" x14ac:dyDescent="0.25">
      <c r="A16" s="118"/>
      <c r="B16" s="118"/>
      <c r="C16" s="118"/>
      <c r="D16" s="118"/>
      <c r="E16" s="122"/>
      <c r="F16" s="118"/>
      <c r="G16" s="124"/>
      <c r="H16" s="232" t="s">
        <v>29</v>
      </c>
      <c r="I16" s="232"/>
      <c r="J16" s="232"/>
      <c r="K16" s="123"/>
    </row>
    <row r="17" spans="1:11" ht="15.75" customHeight="1" x14ac:dyDescent="0.35">
      <c r="A17" s="118"/>
      <c r="B17" s="118"/>
      <c r="C17" s="118"/>
      <c r="D17" s="118"/>
      <c r="E17" s="122"/>
      <c r="F17" s="118"/>
      <c r="G17" s="124"/>
      <c r="H17" s="132" t="s">
        <v>28</v>
      </c>
      <c r="I17" s="141">
        <f>AVERAGE(Tableau1[%])</f>
        <v>37.9</v>
      </c>
      <c r="J17" s="133"/>
      <c r="K17" s="123"/>
    </row>
    <row r="18" spans="1:11" ht="16.5" customHeight="1" x14ac:dyDescent="0.25">
      <c r="A18" s="118"/>
      <c r="B18" s="118"/>
      <c r="C18" s="118"/>
      <c r="D18" s="118"/>
      <c r="E18" s="122"/>
      <c r="F18" s="118"/>
      <c r="G18" s="127"/>
      <c r="H18" s="134"/>
      <c r="I18" s="134"/>
      <c r="J18" s="134"/>
      <c r="K18" s="128"/>
    </row>
    <row r="19" spans="1:11" ht="16.5" customHeight="1" x14ac:dyDescent="0.25">
      <c r="A19" s="118"/>
      <c r="B19" s="118"/>
      <c r="C19" s="118"/>
      <c r="D19" s="118"/>
      <c r="E19" s="122"/>
      <c r="F19" s="118"/>
      <c r="G19" s="135"/>
    </row>
    <row r="20" spans="1:11" ht="16.5" customHeight="1" x14ac:dyDescent="0.25">
      <c r="A20" s="118"/>
      <c r="B20" s="118"/>
      <c r="C20" s="118"/>
      <c r="D20" s="118"/>
      <c r="E20" s="122"/>
      <c r="F20" s="118"/>
      <c r="G20" s="129"/>
    </row>
    <row r="21" spans="1:11" ht="16.5" customHeight="1" x14ac:dyDescent="0.25">
      <c r="A21" s="118"/>
      <c r="B21" s="118"/>
      <c r="C21" s="118"/>
      <c r="D21" s="118"/>
      <c r="E21" s="122"/>
      <c r="F21" s="118"/>
    </row>
    <row r="22" spans="1:11" x14ac:dyDescent="0.25">
      <c r="A22" s="118"/>
      <c r="B22" s="118"/>
      <c r="C22" s="118"/>
      <c r="D22" s="118"/>
      <c r="E22" s="122"/>
      <c r="F22" s="118"/>
    </row>
    <row r="23" spans="1:11" x14ac:dyDescent="0.25">
      <c r="A23" s="118"/>
      <c r="B23" s="118"/>
      <c r="C23" s="118"/>
      <c r="D23" s="118"/>
      <c r="E23" s="122"/>
      <c r="F23" s="118"/>
    </row>
    <row r="24" spans="1:11" ht="15.75" customHeight="1" x14ac:dyDescent="0.25">
      <c r="A24" s="118"/>
      <c r="B24" s="118"/>
      <c r="C24" s="118"/>
      <c r="D24" s="118"/>
      <c r="E24" s="122"/>
      <c r="F24" s="118"/>
    </row>
    <row r="25" spans="1:11" x14ac:dyDescent="0.25">
      <c r="A25" s="118"/>
      <c r="B25" s="118"/>
      <c r="C25" s="118"/>
      <c r="D25" s="118"/>
      <c r="E25" s="122"/>
      <c r="F25" s="118"/>
    </row>
    <row r="26" spans="1:11" x14ac:dyDescent="0.25">
      <c r="A26" s="118"/>
      <c r="B26" s="118"/>
      <c r="C26" s="118"/>
      <c r="D26" s="118"/>
      <c r="E26" s="122"/>
      <c r="F26" s="118"/>
    </row>
    <row r="27" spans="1:11" x14ac:dyDescent="0.25">
      <c r="A27" s="118"/>
      <c r="B27" s="118"/>
      <c r="C27" s="118"/>
      <c r="D27" s="118"/>
      <c r="E27" s="122"/>
      <c r="F27" s="118"/>
    </row>
    <row r="28" spans="1:11" ht="15.75" customHeight="1" x14ac:dyDescent="0.25">
      <c r="A28" s="118"/>
      <c r="B28" s="118"/>
      <c r="C28" s="118"/>
      <c r="D28" s="118"/>
      <c r="E28" s="122"/>
      <c r="F28" s="118"/>
    </row>
    <row r="29" spans="1:11" ht="15.75" customHeight="1" x14ac:dyDescent="0.25">
      <c r="A29" s="118"/>
      <c r="B29" s="118"/>
      <c r="C29" s="118"/>
      <c r="D29" s="118"/>
      <c r="E29" s="122"/>
      <c r="F29" s="118"/>
    </row>
    <row r="30" spans="1:11" ht="15.75" customHeight="1" x14ac:dyDescent="0.25">
      <c r="A30" s="118"/>
      <c r="B30" s="118"/>
      <c r="C30" s="118"/>
      <c r="D30" s="118"/>
      <c r="E30" s="122"/>
      <c r="F30" s="118"/>
    </row>
    <row r="31" spans="1:11" ht="15.75" customHeight="1" x14ac:dyDescent="0.25">
      <c r="A31" s="118"/>
      <c r="B31" s="118"/>
      <c r="C31" s="118"/>
      <c r="D31" s="118"/>
      <c r="E31" s="122"/>
      <c r="F31" s="118"/>
    </row>
    <row r="32" spans="1:11" ht="15.75" customHeight="1" x14ac:dyDescent="0.25">
      <c r="A32" s="118"/>
      <c r="B32" s="118"/>
      <c r="C32" s="118"/>
      <c r="D32" s="118"/>
      <c r="E32" s="122"/>
      <c r="F32" s="118"/>
    </row>
    <row r="33" spans="1:6" ht="15.75" customHeight="1" x14ac:dyDescent="0.25">
      <c r="A33" s="118"/>
      <c r="B33" s="118"/>
      <c r="C33" s="118"/>
      <c r="D33" s="118"/>
      <c r="E33" s="122"/>
      <c r="F33" s="118"/>
    </row>
    <row r="34" spans="1:6" ht="15.75" customHeight="1" x14ac:dyDescent="0.25">
      <c r="A34" s="118"/>
      <c r="B34" s="118"/>
      <c r="C34" s="118"/>
      <c r="D34" s="118"/>
      <c r="E34" s="122"/>
      <c r="F34" s="118"/>
    </row>
    <row r="35" spans="1:6" ht="15.75" customHeight="1" x14ac:dyDescent="0.25">
      <c r="A35" s="118"/>
      <c r="B35" s="118"/>
      <c r="C35" s="118"/>
      <c r="D35" s="118"/>
      <c r="E35" s="122"/>
      <c r="F35" s="118"/>
    </row>
    <row r="36" spans="1:6" ht="15.75" customHeight="1" x14ac:dyDescent="0.25">
      <c r="A36" s="118"/>
      <c r="B36" s="118"/>
      <c r="C36" s="118"/>
      <c r="D36" s="118"/>
      <c r="E36" s="122"/>
      <c r="F36" s="118"/>
    </row>
    <row r="37" spans="1:6" ht="15.75" customHeight="1" x14ac:dyDescent="0.25">
      <c r="A37" s="118"/>
      <c r="B37" s="118"/>
      <c r="C37" s="118"/>
      <c r="D37" s="118"/>
      <c r="E37" s="122"/>
      <c r="F37" s="118"/>
    </row>
    <row r="38" spans="1:6" ht="15.75" customHeight="1" x14ac:dyDescent="0.25">
      <c r="A38" s="118"/>
      <c r="B38" s="118"/>
      <c r="C38" s="118"/>
      <c r="D38" s="118"/>
      <c r="E38" s="122"/>
      <c r="F38" s="118"/>
    </row>
    <row r="39" spans="1:6" ht="15.75" customHeight="1" x14ac:dyDescent="0.25">
      <c r="A39" s="118"/>
      <c r="B39" s="118"/>
      <c r="C39" s="118"/>
      <c r="D39" s="118"/>
      <c r="E39" s="122"/>
      <c r="F39" s="118"/>
    </row>
    <row r="40" spans="1:6" ht="15.75" customHeight="1" x14ac:dyDescent="0.25">
      <c r="A40" s="118"/>
      <c r="B40" s="118"/>
      <c r="C40" s="118"/>
      <c r="D40" s="118"/>
      <c r="E40" s="122"/>
      <c r="F40" s="118"/>
    </row>
    <row r="41" spans="1:6" x14ac:dyDescent="0.25">
      <c r="A41" s="118"/>
      <c r="B41" s="118"/>
      <c r="C41" s="118"/>
      <c r="D41" s="118"/>
      <c r="E41" s="122"/>
      <c r="F41" s="118"/>
    </row>
    <row r="42" spans="1:6" x14ac:dyDescent="0.25">
      <c r="A42" s="118"/>
      <c r="B42" s="118"/>
      <c r="C42" s="118"/>
      <c r="D42" s="118"/>
      <c r="E42" s="122"/>
      <c r="F42" s="118"/>
    </row>
    <row r="43" spans="1:6" x14ac:dyDescent="0.25">
      <c r="A43" s="118"/>
      <c r="B43" s="118"/>
      <c r="C43" s="118"/>
      <c r="D43" s="118"/>
      <c r="E43" s="122"/>
      <c r="F43" s="118"/>
    </row>
    <row r="44" spans="1:6" x14ac:dyDescent="0.25">
      <c r="A44" s="118"/>
      <c r="B44" s="118"/>
      <c r="C44" s="118"/>
      <c r="D44" s="118"/>
      <c r="E44" s="122"/>
      <c r="F44" s="118"/>
    </row>
    <row r="45" spans="1:6" x14ac:dyDescent="0.25">
      <c r="A45" s="118"/>
      <c r="B45" s="118"/>
      <c r="C45" s="118"/>
      <c r="D45" s="118"/>
      <c r="E45" s="122"/>
      <c r="F45" s="118"/>
    </row>
    <row r="46" spans="1:6" x14ac:dyDescent="0.25">
      <c r="A46" s="118"/>
      <c r="B46" s="118"/>
      <c r="C46" s="118"/>
      <c r="D46" s="118"/>
      <c r="E46" s="122"/>
      <c r="F46" s="118"/>
    </row>
    <row r="47" spans="1:6" x14ac:dyDescent="0.25">
      <c r="A47" s="118"/>
      <c r="B47" s="118"/>
      <c r="C47" s="118"/>
      <c r="D47" s="118"/>
      <c r="E47" s="122"/>
      <c r="F47" s="118"/>
    </row>
    <row r="48" spans="1:6" x14ac:dyDescent="0.25">
      <c r="A48" s="118"/>
      <c r="B48" s="118"/>
      <c r="C48" s="118"/>
      <c r="D48" s="118"/>
      <c r="E48" s="122"/>
      <c r="F48" s="118"/>
    </row>
    <row r="49" spans="1:6" x14ac:dyDescent="0.25">
      <c r="A49" s="118"/>
      <c r="B49" s="118"/>
      <c r="C49" s="118"/>
      <c r="D49" s="118"/>
      <c r="E49" s="122"/>
      <c r="F49" s="118"/>
    </row>
    <row r="50" spans="1:6" x14ac:dyDescent="0.25">
      <c r="A50" s="118"/>
      <c r="B50" s="118"/>
      <c r="C50" s="118"/>
      <c r="D50" s="118"/>
      <c r="E50" s="122"/>
      <c r="F50" s="118"/>
    </row>
    <row r="51" spans="1:6" x14ac:dyDescent="0.25">
      <c r="A51" s="118"/>
      <c r="B51" s="118"/>
      <c r="C51" s="118"/>
      <c r="D51" s="118"/>
      <c r="E51" s="122"/>
      <c r="F51" s="118"/>
    </row>
    <row r="52" spans="1:6" x14ac:dyDescent="0.25">
      <c r="A52" s="118"/>
      <c r="B52" s="118"/>
      <c r="C52" s="118"/>
      <c r="D52" s="118"/>
      <c r="E52" s="122"/>
      <c r="F52" s="118"/>
    </row>
    <row r="53" spans="1:6" x14ac:dyDescent="0.25">
      <c r="A53" s="118"/>
      <c r="B53" s="118"/>
      <c r="C53" s="118"/>
      <c r="D53" s="118"/>
      <c r="E53" s="122"/>
      <c r="F53" s="118"/>
    </row>
    <row r="54" spans="1:6" x14ac:dyDescent="0.25">
      <c r="A54" s="118"/>
      <c r="B54" s="118"/>
      <c r="C54" s="118"/>
      <c r="D54" s="118"/>
      <c r="E54" s="122"/>
      <c r="F54" s="118"/>
    </row>
    <row r="55" spans="1:6" x14ac:dyDescent="0.25">
      <c r="A55" s="118"/>
      <c r="B55" s="118"/>
      <c r="C55" s="118"/>
      <c r="D55" s="118"/>
      <c r="E55" s="122"/>
      <c r="F55" s="118"/>
    </row>
    <row r="56" spans="1:6" x14ac:dyDescent="0.25">
      <c r="A56" s="118"/>
      <c r="B56" s="118"/>
      <c r="C56" s="118"/>
      <c r="D56" s="118"/>
      <c r="E56" s="122"/>
      <c r="F56" s="118"/>
    </row>
    <row r="57" spans="1:6" x14ac:dyDescent="0.25">
      <c r="A57" s="118"/>
      <c r="B57" s="118"/>
      <c r="C57" s="118"/>
      <c r="D57" s="118"/>
      <c r="E57" s="122"/>
      <c r="F57" s="118"/>
    </row>
    <row r="58" spans="1:6" x14ac:dyDescent="0.25">
      <c r="A58" s="118"/>
      <c r="B58" s="118"/>
      <c r="C58" s="118"/>
      <c r="D58" s="118"/>
      <c r="E58" s="122"/>
      <c r="F58" s="118"/>
    </row>
    <row r="59" spans="1:6" x14ac:dyDescent="0.25">
      <c r="A59" s="118"/>
      <c r="B59" s="118"/>
      <c r="C59" s="118"/>
      <c r="D59" s="118"/>
      <c r="E59" s="122"/>
      <c r="F59" s="118"/>
    </row>
    <row r="60" spans="1:6" x14ac:dyDescent="0.25">
      <c r="A60" s="118"/>
      <c r="B60" s="118"/>
      <c r="C60" s="118"/>
      <c r="D60" s="118"/>
      <c r="E60" s="122"/>
      <c r="F60" s="118"/>
    </row>
    <row r="61" spans="1:6" x14ac:dyDescent="0.25">
      <c r="A61" s="118"/>
      <c r="B61" s="118"/>
      <c r="C61" s="118"/>
      <c r="D61" s="118"/>
      <c r="E61" s="122"/>
      <c r="F61" s="118"/>
    </row>
    <row r="62" spans="1:6" x14ac:dyDescent="0.25">
      <c r="A62" s="118"/>
      <c r="B62" s="118"/>
      <c r="C62" s="118"/>
      <c r="D62" s="118"/>
      <c r="E62" s="122"/>
      <c r="F62" s="118"/>
    </row>
    <row r="63" spans="1:6" x14ac:dyDescent="0.25">
      <c r="A63" s="118"/>
      <c r="B63" s="118"/>
      <c r="C63" s="118"/>
      <c r="D63" s="118"/>
      <c r="E63" s="122"/>
      <c r="F63" s="118"/>
    </row>
    <row r="64" spans="1:6" x14ac:dyDescent="0.25">
      <c r="A64" s="118"/>
      <c r="B64" s="118"/>
      <c r="C64" s="118"/>
      <c r="D64" s="118"/>
      <c r="E64" s="122"/>
      <c r="F64" s="118"/>
    </row>
    <row r="65" spans="1:6" x14ac:dyDescent="0.25">
      <c r="A65" s="118"/>
      <c r="B65" s="118"/>
      <c r="C65" s="118"/>
      <c r="D65" s="118"/>
      <c r="E65" s="122"/>
      <c r="F65" s="118"/>
    </row>
    <row r="66" spans="1:6" x14ac:dyDescent="0.25">
      <c r="A66" s="118"/>
      <c r="B66" s="118"/>
      <c r="C66" s="118"/>
      <c r="D66" s="118"/>
      <c r="E66" s="122"/>
      <c r="F66" s="118"/>
    </row>
    <row r="67" spans="1:6" x14ac:dyDescent="0.25">
      <c r="A67" s="118"/>
      <c r="B67" s="118"/>
      <c r="C67" s="118"/>
      <c r="D67" s="118"/>
      <c r="E67" s="122"/>
      <c r="F67" s="118"/>
    </row>
    <row r="68" spans="1:6" x14ac:dyDescent="0.25">
      <c r="A68" s="118"/>
      <c r="B68" s="118"/>
      <c r="C68" s="118"/>
      <c r="D68" s="118"/>
      <c r="E68" s="122"/>
      <c r="F68" s="118"/>
    </row>
    <row r="69" spans="1:6" x14ac:dyDescent="0.25">
      <c r="A69" s="118"/>
      <c r="B69" s="118"/>
      <c r="C69" s="118"/>
      <c r="D69" s="118"/>
      <c r="E69" s="122"/>
      <c r="F69" s="118"/>
    </row>
    <row r="70" spans="1:6" x14ac:dyDescent="0.25">
      <c r="A70" s="118"/>
      <c r="B70" s="118"/>
      <c r="C70" s="118"/>
      <c r="D70" s="118"/>
      <c r="E70" s="122"/>
      <c r="F70" s="118"/>
    </row>
    <row r="71" spans="1:6" x14ac:dyDescent="0.25">
      <c r="A71" s="118"/>
      <c r="B71" s="118"/>
      <c r="C71" s="118"/>
      <c r="D71" s="118"/>
      <c r="E71" s="122"/>
      <c r="F71" s="118"/>
    </row>
    <row r="72" spans="1:6" x14ac:dyDescent="0.25">
      <c r="A72" s="118"/>
      <c r="B72" s="118"/>
      <c r="C72" s="118"/>
      <c r="D72" s="118"/>
      <c r="E72" s="122"/>
      <c r="F72" s="118"/>
    </row>
    <row r="73" spans="1:6" x14ac:dyDescent="0.25">
      <c r="A73" s="118"/>
      <c r="B73" s="118"/>
      <c r="C73" s="118"/>
      <c r="D73" s="118"/>
      <c r="E73" s="122"/>
      <c r="F73" s="118"/>
    </row>
    <row r="74" spans="1:6" x14ac:dyDescent="0.25">
      <c r="A74" s="118"/>
      <c r="B74" s="118"/>
      <c r="C74" s="118"/>
      <c r="D74" s="118"/>
      <c r="E74" s="122"/>
      <c r="F74" s="118"/>
    </row>
    <row r="75" spans="1:6" x14ac:dyDescent="0.25">
      <c r="A75" s="118"/>
      <c r="B75" s="118"/>
      <c r="C75" s="118"/>
      <c r="D75" s="118"/>
      <c r="E75" s="122"/>
      <c r="F75" s="118"/>
    </row>
    <row r="76" spans="1:6" x14ac:dyDescent="0.25">
      <c r="A76" s="118"/>
      <c r="B76" s="118"/>
      <c r="C76" s="118"/>
      <c r="D76" s="118"/>
      <c r="E76" s="122"/>
      <c r="F76" s="118"/>
    </row>
    <row r="77" spans="1:6" x14ac:dyDescent="0.25">
      <c r="A77" s="118"/>
      <c r="B77" s="118"/>
      <c r="C77" s="118"/>
      <c r="D77" s="118"/>
      <c r="E77" s="122"/>
      <c r="F77" s="118"/>
    </row>
    <row r="78" spans="1:6" x14ac:dyDescent="0.25">
      <c r="A78" s="118"/>
      <c r="B78" s="118"/>
      <c r="C78" s="118"/>
      <c r="D78" s="118"/>
      <c r="E78" s="122"/>
      <c r="F78" s="118"/>
    </row>
    <row r="79" spans="1:6" x14ac:dyDescent="0.25">
      <c r="A79" s="118"/>
      <c r="B79" s="118"/>
      <c r="C79" s="118"/>
      <c r="D79" s="118"/>
      <c r="E79" s="122"/>
      <c r="F79" s="118"/>
    </row>
    <row r="80" spans="1:6" x14ac:dyDescent="0.25">
      <c r="A80" s="118"/>
      <c r="B80" s="118"/>
      <c r="C80" s="118"/>
      <c r="D80" s="118"/>
      <c r="E80" s="122"/>
      <c r="F80" s="118"/>
    </row>
    <row r="81" spans="1:6" x14ac:dyDescent="0.25">
      <c r="A81" s="118"/>
      <c r="B81" s="118"/>
      <c r="C81" s="118"/>
      <c r="D81" s="118"/>
      <c r="E81" s="122"/>
      <c r="F81" s="118"/>
    </row>
    <row r="82" spans="1:6" x14ac:dyDescent="0.25">
      <c r="A82" s="118"/>
      <c r="B82" s="118"/>
      <c r="C82" s="118"/>
      <c r="D82" s="118"/>
      <c r="E82" s="122"/>
      <c r="F82" s="118"/>
    </row>
    <row r="83" spans="1:6" x14ac:dyDescent="0.25">
      <c r="A83" s="118"/>
      <c r="B83" s="118"/>
      <c r="C83" s="118"/>
      <c r="D83" s="118"/>
      <c r="E83" s="122"/>
      <c r="F83" s="118"/>
    </row>
    <row r="84" spans="1:6" x14ac:dyDescent="0.25">
      <c r="A84" s="118"/>
      <c r="B84" s="118"/>
      <c r="C84" s="118"/>
      <c r="D84" s="118"/>
      <c r="E84" s="122"/>
      <c r="F84" s="118"/>
    </row>
    <row r="85" spans="1:6" x14ac:dyDescent="0.25">
      <c r="A85" s="118"/>
      <c r="B85" s="118"/>
      <c r="C85" s="118"/>
      <c r="D85" s="118"/>
      <c r="E85" s="122"/>
      <c r="F85" s="118"/>
    </row>
    <row r="86" spans="1:6" x14ac:dyDescent="0.25">
      <c r="A86" s="118"/>
      <c r="B86" s="118"/>
      <c r="C86" s="118"/>
      <c r="D86" s="118"/>
      <c r="E86" s="122"/>
      <c r="F86" s="118"/>
    </row>
    <row r="87" spans="1:6" x14ac:dyDescent="0.25">
      <c r="A87" s="118"/>
      <c r="B87" s="118"/>
      <c r="C87" s="118"/>
      <c r="D87" s="118"/>
      <c r="E87" s="122"/>
      <c r="F87" s="118"/>
    </row>
    <row r="88" spans="1:6" x14ac:dyDescent="0.25">
      <c r="A88" s="118"/>
      <c r="B88" s="118"/>
      <c r="C88" s="118"/>
      <c r="D88" s="118"/>
      <c r="E88" s="122"/>
      <c r="F88" s="118"/>
    </row>
    <row r="89" spans="1:6" x14ac:dyDescent="0.25">
      <c r="A89" s="118"/>
      <c r="B89" s="118"/>
      <c r="C89" s="118"/>
      <c r="D89" s="118"/>
      <c r="E89" s="122"/>
      <c r="F89" s="118"/>
    </row>
    <row r="90" spans="1:6" x14ac:dyDescent="0.25">
      <c r="A90" s="118"/>
      <c r="B90" s="118"/>
      <c r="C90" s="118"/>
      <c r="D90" s="118"/>
      <c r="E90" s="122"/>
      <c r="F90" s="118"/>
    </row>
    <row r="91" spans="1:6" x14ac:dyDescent="0.25">
      <c r="A91" s="118"/>
      <c r="B91" s="118"/>
      <c r="C91" s="118"/>
      <c r="D91" s="118"/>
      <c r="E91" s="122"/>
      <c r="F91" s="118"/>
    </row>
    <row r="92" spans="1:6" x14ac:dyDescent="0.25">
      <c r="A92" s="118"/>
      <c r="B92" s="118"/>
      <c r="C92" s="118"/>
      <c r="D92" s="118"/>
      <c r="E92" s="122"/>
      <c r="F92" s="118"/>
    </row>
    <row r="93" spans="1:6" x14ac:dyDescent="0.25">
      <c r="A93" s="118"/>
      <c r="B93" s="118"/>
      <c r="C93" s="118"/>
      <c r="D93" s="118"/>
      <c r="E93" s="122"/>
      <c r="F93" s="118"/>
    </row>
    <row r="94" spans="1:6" x14ac:dyDescent="0.25">
      <c r="A94" s="118"/>
      <c r="B94" s="118"/>
      <c r="C94" s="118"/>
      <c r="D94" s="118"/>
      <c r="E94" s="122"/>
      <c r="F94" s="118"/>
    </row>
    <row r="95" spans="1:6" x14ac:dyDescent="0.25">
      <c r="A95" s="118"/>
      <c r="B95" s="118"/>
      <c r="C95" s="118"/>
      <c r="D95" s="118"/>
      <c r="E95" s="122"/>
      <c r="F95" s="118"/>
    </row>
    <row r="96" spans="1:6" x14ac:dyDescent="0.25">
      <c r="A96" s="118"/>
      <c r="B96" s="118"/>
      <c r="C96" s="118"/>
      <c r="D96" s="118"/>
      <c r="E96" s="122"/>
      <c r="F96" s="118"/>
    </row>
    <row r="97" spans="1:6" x14ac:dyDescent="0.25">
      <c r="A97" s="118"/>
      <c r="B97" s="118"/>
      <c r="C97" s="118"/>
      <c r="D97" s="118"/>
      <c r="E97" s="122"/>
      <c r="F97" s="118"/>
    </row>
    <row r="98" spans="1:6" x14ac:dyDescent="0.25">
      <c r="A98" s="118"/>
      <c r="B98" s="118"/>
      <c r="C98" s="118"/>
      <c r="D98" s="118"/>
      <c r="E98" s="122"/>
      <c r="F98" s="118"/>
    </row>
    <row r="99" spans="1:6" x14ac:dyDescent="0.25">
      <c r="A99" s="118"/>
      <c r="B99" s="118"/>
      <c r="C99" s="118"/>
      <c r="D99" s="118"/>
      <c r="E99" s="122"/>
      <c r="F99" s="118"/>
    </row>
    <row r="100" spans="1:6" x14ac:dyDescent="0.25">
      <c r="A100" s="118"/>
      <c r="B100" s="118"/>
      <c r="C100" s="118"/>
      <c r="D100" s="118"/>
      <c r="E100" s="122"/>
      <c r="F100" s="118"/>
    </row>
    <row r="101" spans="1:6" x14ac:dyDescent="0.25">
      <c r="A101" s="118"/>
      <c r="B101" s="118"/>
      <c r="C101" s="118"/>
      <c r="D101" s="118"/>
      <c r="E101" s="122"/>
      <c r="F101" s="118"/>
    </row>
    <row r="102" spans="1:6" x14ac:dyDescent="0.25">
      <c r="A102" s="118"/>
      <c r="B102" s="118"/>
      <c r="C102" s="118"/>
      <c r="D102" s="118"/>
      <c r="E102" s="122"/>
      <c r="F102" s="118"/>
    </row>
    <row r="103" spans="1:6" x14ac:dyDescent="0.25">
      <c r="A103" s="118"/>
      <c r="B103" s="118"/>
      <c r="C103" s="118"/>
      <c r="D103" s="118"/>
      <c r="E103" s="122"/>
      <c r="F103" s="118"/>
    </row>
    <row r="104" spans="1:6" x14ac:dyDescent="0.25">
      <c r="A104" s="118"/>
      <c r="B104" s="118"/>
      <c r="C104" s="118"/>
      <c r="D104" s="118"/>
      <c r="E104" s="122"/>
      <c r="F104" s="118"/>
    </row>
    <row r="105" spans="1:6" x14ac:dyDescent="0.25">
      <c r="A105" s="118"/>
      <c r="B105" s="118"/>
      <c r="C105" s="118"/>
      <c r="D105" s="118"/>
      <c r="E105" s="122"/>
      <c r="F105" s="118"/>
    </row>
    <row r="106" spans="1:6" x14ac:dyDescent="0.25">
      <c r="A106" s="118"/>
      <c r="B106" s="118"/>
      <c r="C106" s="118"/>
      <c r="D106" s="118"/>
      <c r="E106" s="122"/>
      <c r="F106" s="118"/>
    </row>
    <row r="107" spans="1:6" x14ac:dyDescent="0.25">
      <c r="A107" s="118"/>
      <c r="B107" s="118"/>
      <c r="C107" s="118"/>
      <c r="D107" s="118"/>
      <c r="E107" s="122"/>
      <c r="F107" s="118"/>
    </row>
    <row r="108" spans="1:6" x14ac:dyDescent="0.25">
      <c r="A108" s="118"/>
      <c r="B108" s="118"/>
      <c r="C108" s="118"/>
      <c r="D108" s="118"/>
      <c r="E108" s="122"/>
      <c r="F108" s="118"/>
    </row>
    <row r="109" spans="1:6" x14ac:dyDescent="0.25">
      <c r="A109" s="118"/>
      <c r="B109" s="118"/>
      <c r="C109" s="118"/>
      <c r="D109" s="118"/>
      <c r="E109" s="122"/>
      <c r="F109" s="118"/>
    </row>
    <row r="110" spans="1:6" x14ac:dyDescent="0.25">
      <c r="A110" s="118"/>
      <c r="B110" s="118"/>
      <c r="C110" s="118"/>
      <c r="D110" s="118"/>
      <c r="E110" s="122"/>
      <c r="F110" s="118"/>
    </row>
    <row r="111" spans="1:6" x14ac:dyDescent="0.25">
      <c r="A111" s="118"/>
      <c r="B111" s="118"/>
      <c r="C111" s="118"/>
      <c r="D111" s="118"/>
      <c r="E111" s="122"/>
      <c r="F111" s="118"/>
    </row>
    <row r="112" spans="1:6" x14ac:dyDescent="0.25">
      <c r="A112" s="118"/>
      <c r="B112" s="118"/>
      <c r="C112" s="118"/>
      <c r="D112" s="118"/>
      <c r="E112" s="122"/>
      <c r="F112" s="118"/>
    </row>
    <row r="113" spans="1:6" x14ac:dyDescent="0.25">
      <c r="A113" s="118"/>
      <c r="B113" s="118"/>
      <c r="C113" s="118"/>
      <c r="D113" s="118"/>
      <c r="E113" s="122"/>
      <c r="F113" s="118"/>
    </row>
    <row r="114" spans="1:6" x14ac:dyDescent="0.25">
      <c r="A114" s="118"/>
      <c r="B114" s="118"/>
      <c r="C114" s="118"/>
      <c r="D114" s="118"/>
      <c r="E114" s="122"/>
      <c r="F114" s="118"/>
    </row>
    <row r="115" spans="1:6" x14ac:dyDescent="0.25">
      <c r="A115" s="118"/>
      <c r="B115" s="118"/>
      <c r="C115" s="118"/>
      <c r="D115" s="118"/>
      <c r="E115" s="122"/>
      <c r="F115" s="118"/>
    </row>
    <row r="116" spans="1:6" x14ac:dyDescent="0.25">
      <c r="A116" s="118"/>
      <c r="B116" s="118"/>
      <c r="C116" s="118"/>
      <c r="D116" s="118"/>
      <c r="E116" s="122"/>
      <c r="F116" s="118"/>
    </row>
    <row r="117" spans="1:6" x14ac:dyDescent="0.25">
      <c r="A117" s="118"/>
      <c r="B117" s="118"/>
      <c r="C117" s="118"/>
      <c r="D117" s="118"/>
      <c r="E117" s="122"/>
      <c r="F117" s="118"/>
    </row>
    <row r="118" spans="1:6" x14ac:dyDescent="0.25">
      <c r="A118" s="118"/>
      <c r="B118" s="118"/>
      <c r="C118" s="118"/>
      <c r="D118" s="118"/>
      <c r="E118" s="122"/>
      <c r="F118" s="118"/>
    </row>
    <row r="119" spans="1:6" x14ac:dyDescent="0.25">
      <c r="A119" s="118"/>
      <c r="B119" s="118"/>
      <c r="C119" s="118"/>
      <c r="D119" s="118"/>
      <c r="E119" s="122"/>
      <c r="F119" s="118"/>
    </row>
    <row r="120" spans="1:6" x14ac:dyDescent="0.25">
      <c r="A120" s="118"/>
      <c r="B120" s="118"/>
      <c r="C120" s="118"/>
      <c r="D120" s="118"/>
      <c r="E120" s="122"/>
      <c r="F120" s="118"/>
    </row>
    <row r="121" spans="1:6" x14ac:dyDescent="0.25">
      <c r="A121" s="118"/>
      <c r="B121" s="118"/>
      <c r="C121" s="118"/>
      <c r="D121" s="118"/>
      <c r="E121" s="122"/>
      <c r="F121" s="118"/>
    </row>
    <row r="122" spans="1:6" x14ac:dyDescent="0.25">
      <c r="A122" s="118"/>
      <c r="B122" s="118"/>
      <c r="C122" s="118"/>
      <c r="D122" s="118"/>
      <c r="E122" s="122"/>
      <c r="F122" s="118"/>
    </row>
    <row r="123" spans="1:6" x14ac:dyDescent="0.25">
      <c r="A123" s="118"/>
      <c r="B123" s="118"/>
      <c r="C123" s="118"/>
      <c r="D123" s="118"/>
      <c r="E123" s="122"/>
      <c r="F123" s="118"/>
    </row>
    <row r="124" spans="1:6" x14ac:dyDescent="0.25">
      <c r="A124" s="118"/>
      <c r="B124" s="118"/>
      <c r="C124" s="118"/>
      <c r="D124" s="118"/>
      <c r="E124" s="122"/>
      <c r="F124" s="118"/>
    </row>
    <row r="125" spans="1:6" x14ac:dyDescent="0.25">
      <c r="A125" s="118"/>
      <c r="B125" s="118"/>
      <c r="C125" s="118"/>
      <c r="D125" s="118"/>
      <c r="E125" s="122"/>
      <c r="F125" s="118"/>
    </row>
    <row r="126" spans="1:6" x14ac:dyDescent="0.25">
      <c r="A126" s="118"/>
      <c r="B126" s="118"/>
      <c r="C126" s="118"/>
      <c r="D126" s="118"/>
      <c r="E126" s="122"/>
      <c r="F126" s="118"/>
    </row>
    <row r="127" spans="1:6" x14ac:dyDescent="0.25">
      <c r="A127" s="118"/>
      <c r="B127" s="118"/>
      <c r="C127" s="118"/>
      <c r="D127" s="118"/>
      <c r="E127" s="122"/>
      <c r="F127" s="118"/>
    </row>
    <row r="128" spans="1:6" x14ac:dyDescent="0.25">
      <c r="A128" s="118"/>
      <c r="B128" s="118"/>
      <c r="C128" s="118"/>
      <c r="D128" s="118"/>
      <c r="E128" s="122"/>
      <c r="F128" s="118"/>
    </row>
    <row r="129" spans="1:6" x14ac:dyDescent="0.25">
      <c r="A129" s="118"/>
      <c r="B129" s="118"/>
      <c r="C129" s="118"/>
      <c r="D129" s="118"/>
      <c r="E129" s="122"/>
      <c r="F129" s="118"/>
    </row>
    <row r="130" spans="1:6" x14ac:dyDescent="0.25">
      <c r="A130" s="118"/>
      <c r="B130" s="118"/>
      <c r="C130" s="118"/>
      <c r="D130" s="118"/>
      <c r="E130" s="122"/>
      <c r="F130" s="118"/>
    </row>
    <row r="131" spans="1:6" x14ac:dyDescent="0.25">
      <c r="A131" s="118"/>
      <c r="B131" s="118"/>
      <c r="C131" s="118"/>
      <c r="D131" s="118"/>
      <c r="E131" s="122"/>
      <c r="F131" s="118"/>
    </row>
    <row r="132" spans="1:6" x14ac:dyDescent="0.25">
      <c r="A132" s="118"/>
      <c r="B132" s="118"/>
      <c r="C132" s="118"/>
      <c r="D132" s="118"/>
      <c r="E132" s="122"/>
      <c r="F132" s="118"/>
    </row>
    <row r="133" spans="1:6" x14ac:dyDescent="0.25">
      <c r="A133" s="118"/>
      <c r="B133" s="118"/>
      <c r="C133" s="118"/>
      <c r="D133" s="118"/>
      <c r="E133" s="122"/>
      <c r="F133" s="118"/>
    </row>
    <row r="134" spans="1:6" x14ac:dyDescent="0.25">
      <c r="A134" s="118"/>
      <c r="B134" s="118"/>
      <c r="C134" s="118"/>
      <c r="D134" s="118"/>
      <c r="E134" s="122"/>
      <c r="F134" s="118"/>
    </row>
    <row r="135" spans="1:6" x14ac:dyDescent="0.25">
      <c r="A135" s="118"/>
      <c r="B135" s="118"/>
      <c r="C135" s="118"/>
      <c r="D135" s="118"/>
      <c r="E135" s="122"/>
      <c r="F135" s="118"/>
    </row>
    <row r="136" spans="1:6" x14ac:dyDescent="0.25">
      <c r="A136" s="118"/>
      <c r="B136" s="118"/>
      <c r="C136" s="118"/>
      <c r="D136" s="118"/>
      <c r="E136" s="122"/>
      <c r="F136" s="118"/>
    </row>
    <row r="137" spans="1:6" x14ac:dyDescent="0.25">
      <c r="A137" s="118"/>
      <c r="B137" s="118"/>
      <c r="C137" s="118"/>
      <c r="D137" s="118"/>
      <c r="E137" s="122"/>
      <c r="F137" s="118"/>
    </row>
    <row r="138" spans="1:6" x14ac:dyDescent="0.25">
      <c r="A138" s="118"/>
      <c r="B138" s="118"/>
      <c r="C138" s="118"/>
      <c r="D138" s="118"/>
      <c r="E138" s="122"/>
      <c r="F138" s="118"/>
    </row>
    <row r="139" spans="1:6" x14ac:dyDescent="0.25">
      <c r="A139" s="118"/>
      <c r="B139" s="118"/>
      <c r="C139" s="118"/>
      <c r="D139" s="118"/>
      <c r="E139" s="122"/>
      <c r="F139" s="118"/>
    </row>
    <row r="140" spans="1:6" x14ac:dyDescent="0.25">
      <c r="A140" s="118"/>
      <c r="B140" s="118"/>
      <c r="C140" s="118"/>
      <c r="D140" s="118"/>
      <c r="E140" s="122"/>
      <c r="F140" s="118"/>
    </row>
    <row r="141" spans="1:6" x14ac:dyDescent="0.25">
      <c r="A141" s="118"/>
      <c r="B141" s="118"/>
      <c r="C141" s="118"/>
      <c r="D141" s="118"/>
      <c r="E141" s="122"/>
      <c r="F141" s="118"/>
    </row>
    <row r="142" spans="1:6" x14ac:dyDescent="0.25">
      <c r="A142" s="118"/>
      <c r="B142" s="118"/>
      <c r="C142" s="118"/>
      <c r="D142" s="118"/>
      <c r="E142" s="122"/>
      <c r="F142" s="118"/>
    </row>
    <row r="143" spans="1:6" x14ac:dyDescent="0.25">
      <c r="A143" s="118"/>
      <c r="B143" s="118"/>
      <c r="C143" s="118"/>
      <c r="D143" s="118"/>
      <c r="E143" s="122"/>
      <c r="F143" s="118"/>
    </row>
    <row r="144" spans="1:6" x14ac:dyDescent="0.25">
      <c r="A144" s="118"/>
      <c r="B144" s="118"/>
      <c r="C144" s="118"/>
      <c r="D144" s="118"/>
      <c r="E144" s="122"/>
      <c r="F144" s="118"/>
    </row>
    <row r="145" spans="1:6" x14ac:dyDescent="0.25">
      <c r="A145" s="118"/>
      <c r="B145" s="118"/>
      <c r="C145" s="118"/>
      <c r="D145" s="118"/>
      <c r="E145" s="122"/>
      <c r="F145" s="118"/>
    </row>
    <row r="146" spans="1:6" x14ac:dyDescent="0.25">
      <c r="A146" s="118"/>
      <c r="B146" s="118"/>
      <c r="C146" s="118"/>
      <c r="D146" s="118"/>
      <c r="E146" s="122"/>
      <c r="F146" s="118"/>
    </row>
    <row r="147" spans="1:6" x14ac:dyDescent="0.25">
      <c r="A147" s="118"/>
      <c r="B147" s="118"/>
      <c r="C147" s="118"/>
      <c r="D147" s="118"/>
      <c r="E147" s="122"/>
      <c r="F147" s="118"/>
    </row>
    <row r="148" spans="1:6" x14ac:dyDescent="0.25">
      <c r="A148" s="118"/>
      <c r="B148" s="118"/>
      <c r="C148" s="118"/>
      <c r="D148" s="118"/>
      <c r="E148" s="122"/>
      <c r="F148" s="118"/>
    </row>
    <row r="149" spans="1:6" x14ac:dyDescent="0.25">
      <c r="A149" s="118"/>
      <c r="B149" s="118"/>
      <c r="C149" s="118"/>
      <c r="D149" s="118"/>
      <c r="E149" s="122"/>
      <c r="F149" s="118"/>
    </row>
    <row r="150" spans="1:6" x14ac:dyDescent="0.25">
      <c r="A150" s="118"/>
      <c r="B150" s="118"/>
      <c r="C150" s="118"/>
      <c r="D150" s="118"/>
      <c r="E150" s="122"/>
      <c r="F150" s="118"/>
    </row>
    <row r="151" spans="1:6" x14ac:dyDescent="0.25">
      <c r="A151" s="118"/>
      <c r="B151" s="118"/>
      <c r="C151" s="118"/>
      <c r="D151" s="118"/>
      <c r="E151" s="122"/>
      <c r="F151" s="118"/>
    </row>
    <row r="152" spans="1:6" x14ac:dyDescent="0.25">
      <c r="A152" s="118"/>
      <c r="B152" s="118"/>
      <c r="C152" s="118"/>
      <c r="D152" s="118"/>
      <c r="E152" s="122"/>
      <c r="F152" s="118"/>
    </row>
    <row r="153" spans="1:6" x14ac:dyDescent="0.25">
      <c r="A153" s="118"/>
      <c r="B153" s="118"/>
      <c r="C153" s="118"/>
      <c r="D153" s="118"/>
      <c r="E153" s="122"/>
      <c r="F153" s="118"/>
    </row>
    <row r="154" spans="1:6" x14ac:dyDescent="0.25">
      <c r="A154" s="118"/>
      <c r="B154" s="118"/>
      <c r="C154" s="118"/>
      <c r="D154" s="118"/>
      <c r="E154" s="122"/>
      <c r="F154" s="118"/>
    </row>
    <row r="155" spans="1:6" x14ac:dyDescent="0.25">
      <c r="A155" s="118"/>
      <c r="B155" s="118"/>
      <c r="C155" s="118"/>
      <c r="D155" s="118"/>
      <c r="E155" s="122"/>
      <c r="F155" s="118"/>
    </row>
    <row r="156" spans="1:6" x14ac:dyDescent="0.25">
      <c r="A156" s="118"/>
      <c r="B156" s="118"/>
      <c r="C156" s="118"/>
      <c r="D156" s="118"/>
      <c r="E156" s="122"/>
      <c r="F156" s="118"/>
    </row>
    <row r="157" spans="1:6" x14ac:dyDescent="0.25">
      <c r="A157" s="118"/>
      <c r="B157" s="118"/>
      <c r="C157" s="118"/>
      <c r="D157" s="118"/>
      <c r="E157" s="122"/>
      <c r="F157" s="118"/>
    </row>
    <row r="158" spans="1:6" x14ac:dyDescent="0.25">
      <c r="A158" s="118"/>
      <c r="B158" s="118"/>
      <c r="C158" s="118"/>
      <c r="D158" s="118"/>
      <c r="E158" s="122"/>
      <c r="F158" s="118"/>
    </row>
    <row r="159" spans="1:6" x14ac:dyDescent="0.25">
      <c r="A159" s="118"/>
      <c r="B159" s="118"/>
      <c r="C159" s="118"/>
      <c r="D159" s="118"/>
      <c r="E159" s="122"/>
      <c r="F159" s="118"/>
    </row>
    <row r="160" spans="1:6" x14ac:dyDescent="0.25">
      <c r="A160" s="118"/>
      <c r="B160" s="118"/>
      <c r="C160" s="118"/>
      <c r="D160" s="118"/>
      <c r="E160" s="122"/>
      <c r="F160" s="118"/>
    </row>
    <row r="161" spans="1:6" x14ac:dyDescent="0.25">
      <c r="A161" s="118"/>
      <c r="B161" s="118"/>
      <c r="C161" s="118"/>
      <c r="D161" s="118"/>
      <c r="E161" s="122"/>
      <c r="F161" s="118"/>
    </row>
    <row r="162" spans="1:6" x14ac:dyDescent="0.25">
      <c r="A162" s="118"/>
      <c r="B162" s="118"/>
      <c r="C162" s="118"/>
      <c r="D162" s="118"/>
      <c r="E162" s="122"/>
      <c r="F162" s="118"/>
    </row>
    <row r="163" spans="1:6" x14ac:dyDescent="0.25">
      <c r="A163" s="118"/>
      <c r="B163" s="118"/>
      <c r="C163" s="118"/>
      <c r="D163" s="118"/>
      <c r="E163" s="122"/>
      <c r="F163" s="118"/>
    </row>
    <row r="164" spans="1:6" x14ac:dyDescent="0.25">
      <c r="A164" s="118"/>
      <c r="B164" s="118"/>
      <c r="C164" s="118"/>
      <c r="D164" s="118"/>
      <c r="E164" s="122"/>
      <c r="F164" s="118"/>
    </row>
    <row r="165" spans="1:6" x14ac:dyDescent="0.25">
      <c r="A165" s="118"/>
      <c r="B165" s="118"/>
      <c r="C165" s="118"/>
      <c r="D165" s="118"/>
      <c r="E165" s="122"/>
      <c r="F165" s="118"/>
    </row>
    <row r="166" spans="1:6" x14ac:dyDescent="0.25">
      <c r="A166" s="118"/>
      <c r="B166" s="118"/>
      <c r="C166" s="118"/>
      <c r="D166" s="118"/>
      <c r="E166" s="122"/>
      <c r="F166" s="118"/>
    </row>
    <row r="167" spans="1:6" x14ac:dyDescent="0.25">
      <c r="A167" s="118"/>
      <c r="B167" s="118"/>
      <c r="C167" s="118"/>
      <c r="D167" s="118"/>
      <c r="E167" s="122"/>
      <c r="F167" s="118"/>
    </row>
    <row r="168" spans="1:6" x14ac:dyDescent="0.25">
      <c r="A168" s="118"/>
      <c r="B168" s="118"/>
      <c r="C168" s="118"/>
      <c r="D168" s="118"/>
      <c r="E168" s="122"/>
      <c r="F168" s="118"/>
    </row>
    <row r="169" spans="1:6" x14ac:dyDescent="0.25">
      <c r="A169" s="118"/>
      <c r="B169" s="118"/>
      <c r="C169" s="118"/>
      <c r="D169" s="118"/>
      <c r="E169" s="122"/>
      <c r="F169" s="118"/>
    </row>
    <row r="170" spans="1:6" x14ac:dyDescent="0.25">
      <c r="A170" s="118"/>
      <c r="B170" s="118"/>
      <c r="C170" s="118"/>
      <c r="D170" s="118"/>
      <c r="E170" s="122"/>
      <c r="F170" s="118"/>
    </row>
    <row r="171" spans="1:6" x14ac:dyDescent="0.25">
      <c r="A171" s="118"/>
      <c r="B171" s="118"/>
      <c r="C171" s="118"/>
      <c r="D171" s="118"/>
      <c r="E171" s="122"/>
      <c r="F171" s="118"/>
    </row>
    <row r="172" spans="1:6" x14ac:dyDescent="0.25">
      <c r="A172" s="118"/>
      <c r="B172" s="118"/>
      <c r="C172" s="118"/>
      <c r="D172" s="118"/>
      <c r="E172" s="122"/>
      <c r="F172" s="118"/>
    </row>
    <row r="173" spans="1:6" x14ac:dyDescent="0.25">
      <c r="A173" s="118"/>
      <c r="B173" s="118"/>
      <c r="C173" s="118"/>
      <c r="D173" s="118"/>
      <c r="E173" s="122"/>
      <c r="F173" s="118"/>
    </row>
    <row r="174" spans="1:6" x14ac:dyDescent="0.25">
      <c r="A174" s="118"/>
      <c r="B174" s="118"/>
      <c r="C174" s="118"/>
      <c r="D174" s="118"/>
      <c r="E174" s="122"/>
      <c r="F174" s="118"/>
    </row>
    <row r="175" spans="1:6" x14ac:dyDescent="0.25">
      <c r="A175" s="118"/>
      <c r="B175" s="118"/>
      <c r="C175" s="118"/>
      <c r="D175" s="118"/>
      <c r="E175" s="122"/>
      <c r="F175" s="118"/>
    </row>
    <row r="176" spans="1:6" x14ac:dyDescent="0.25">
      <c r="A176" s="118"/>
      <c r="B176" s="118"/>
      <c r="C176" s="118"/>
      <c r="D176" s="118"/>
      <c r="E176" s="122"/>
      <c r="F176" s="118"/>
    </row>
    <row r="177" spans="1:6" x14ac:dyDescent="0.25">
      <c r="A177" s="118"/>
      <c r="B177" s="118"/>
      <c r="C177" s="118"/>
      <c r="D177" s="118"/>
      <c r="E177" s="122"/>
      <c r="F177" s="118"/>
    </row>
    <row r="178" spans="1:6" x14ac:dyDescent="0.25">
      <c r="A178" s="118"/>
      <c r="B178" s="118"/>
      <c r="C178" s="118"/>
      <c r="D178" s="118"/>
      <c r="E178" s="122"/>
      <c r="F178" s="118"/>
    </row>
    <row r="179" spans="1:6" x14ac:dyDescent="0.25">
      <c r="A179" s="118"/>
      <c r="B179" s="118"/>
      <c r="C179" s="118"/>
      <c r="D179" s="118"/>
      <c r="E179" s="122"/>
      <c r="F179" s="118"/>
    </row>
    <row r="180" spans="1:6" x14ac:dyDescent="0.25">
      <c r="A180" s="118"/>
      <c r="B180" s="118"/>
      <c r="C180" s="118"/>
      <c r="D180" s="118"/>
      <c r="E180" s="122"/>
      <c r="F180" s="118"/>
    </row>
    <row r="181" spans="1:6" x14ac:dyDescent="0.25">
      <c r="A181" s="118"/>
      <c r="B181" s="118"/>
      <c r="C181" s="118"/>
      <c r="D181" s="118"/>
      <c r="E181" s="122"/>
      <c r="F181" s="118"/>
    </row>
    <row r="182" spans="1:6" x14ac:dyDescent="0.25">
      <c r="A182" s="118"/>
      <c r="B182" s="118"/>
      <c r="C182" s="118"/>
      <c r="D182" s="118"/>
      <c r="E182" s="122"/>
      <c r="F182" s="118"/>
    </row>
    <row r="183" spans="1:6" x14ac:dyDescent="0.25">
      <c r="A183" s="118"/>
      <c r="B183" s="118"/>
      <c r="C183" s="118"/>
      <c r="D183" s="118"/>
      <c r="E183" s="122"/>
      <c r="F183" s="118"/>
    </row>
    <row r="184" spans="1:6" x14ac:dyDescent="0.25">
      <c r="A184" s="118"/>
      <c r="B184" s="118"/>
      <c r="C184" s="118"/>
      <c r="D184" s="118"/>
      <c r="E184" s="122"/>
      <c r="F184" s="118"/>
    </row>
    <row r="185" spans="1:6" x14ac:dyDescent="0.25">
      <c r="A185" s="118"/>
      <c r="B185" s="118"/>
      <c r="C185" s="118"/>
      <c r="D185" s="118"/>
      <c r="E185" s="122"/>
      <c r="F185" s="118"/>
    </row>
    <row r="186" spans="1:6" x14ac:dyDescent="0.25">
      <c r="A186" s="118"/>
      <c r="B186" s="118"/>
      <c r="C186" s="118"/>
      <c r="D186" s="118"/>
      <c r="E186" s="122"/>
      <c r="F186" s="118"/>
    </row>
    <row r="187" spans="1:6" x14ac:dyDescent="0.25">
      <c r="A187" s="118"/>
      <c r="B187" s="118"/>
      <c r="C187" s="118"/>
      <c r="D187" s="118"/>
      <c r="E187" s="122"/>
      <c r="F187" s="118"/>
    </row>
    <row r="188" spans="1:6" x14ac:dyDescent="0.25">
      <c r="A188" s="118"/>
      <c r="B188" s="118"/>
      <c r="C188" s="118"/>
      <c r="D188" s="118"/>
      <c r="E188" s="122"/>
      <c r="F188" s="118"/>
    </row>
    <row r="189" spans="1:6" x14ac:dyDescent="0.25">
      <c r="A189" s="118"/>
      <c r="B189" s="118"/>
      <c r="C189" s="118"/>
      <c r="D189" s="118"/>
      <c r="E189" s="122"/>
      <c r="F189" s="118"/>
    </row>
    <row r="190" spans="1:6" x14ac:dyDescent="0.25">
      <c r="A190" s="118"/>
      <c r="B190" s="118"/>
      <c r="C190" s="118"/>
      <c r="D190" s="118"/>
      <c r="E190" s="122"/>
      <c r="F190" s="118"/>
    </row>
    <row r="191" spans="1:6" x14ac:dyDescent="0.25">
      <c r="A191" s="118"/>
      <c r="B191" s="118"/>
      <c r="C191" s="118"/>
      <c r="D191" s="118"/>
      <c r="E191" s="122"/>
      <c r="F191" s="118"/>
    </row>
    <row r="192" spans="1:6" x14ac:dyDescent="0.25">
      <c r="A192" s="118"/>
      <c r="B192" s="118"/>
      <c r="C192" s="118"/>
      <c r="D192" s="118"/>
      <c r="E192" s="122"/>
      <c r="F192" s="118"/>
    </row>
    <row r="193" spans="1:6" x14ac:dyDescent="0.25">
      <c r="A193" s="118"/>
      <c r="B193" s="118"/>
      <c r="C193" s="118"/>
      <c r="D193" s="118"/>
      <c r="E193" s="122"/>
      <c r="F193" s="118"/>
    </row>
    <row r="194" spans="1:6" x14ac:dyDescent="0.25">
      <c r="A194" s="118"/>
      <c r="B194" s="118"/>
      <c r="C194" s="118"/>
      <c r="D194" s="118"/>
      <c r="E194" s="122"/>
      <c r="F194" s="118"/>
    </row>
    <row r="195" spans="1:6" x14ac:dyDescent="0.25">
      <c r="A195" s="118"/>
      <c r="B195" s="118"/>
      <c r="C195" s="118"/>
      <c r="D195" s="118"/>
      <c r="E195" s="122"/>
      <c r="F195" s="118"/>
    </row>
    <row r="196" spans="1:6" x14ac:dyDescent="0.25">
      <c r="A196" s="118"/>
      <c r="B196" s="118"/>
      <c r="C196" s="118"/>
      <c r="D196" s="118"/>
      <c r="E196" s="122"/>
      <c r="F196" s="118"/>
    </row>
    <row r="197" spans="1:6" x14ac:dyDescent="0.25">
      <c r="A197" s="118"/>
      <c r="B197" s="118"/>
      <c r="C197" s="118"/>
      <c r="D197" s="118"/>
      <c r="E197" s="122"/>
      <c r="F197" s="118"/>
    </row>
    <row r="198" spans="1:6" x14ac:dyDescent="0.25">
      <c r="A198" s="118"/>
      <c r="B198" s="118"/>
      <c r="C198" s="118"/>
      <c r="D198" s="118"/>
      <c r="E198" s="122"/>
      <c r="F198" s="118"/>
    </row>
    <row r="199" spans="1:6" x14ac:dyDescent="0.25">
      <c r="A199" s="118"/>
      <c r="B199" s="118"/>
      <c r="C199" s="118"/>
      <c r="D199" s="118"/>
      <c r="E199" s="122"/>
      <c r="F199" s="118"/>
    </row>
    <row r="200" spans="1:6" x14ac:dyDescent="0.25">
      <c r="A200" s="118"/>
      <c r="B200" s="118"/>
      <c r="C200" s="118"/>
      <c r="D200" s="118"/>
      <c r="E200" s="122"/>
      <c r="F200" s="118"/>
    </row>
    <row r="201" spans="1:6" x14ac:dyDescent="0.25">
      <c r="A201" s="118"/>
      <c r="B201" s="118"/>
      <c r="C201" s="118"/>
      <c r="D201" s="118"/>
      <c r="E201" s="122"/>
      <c r="F201" s="118"/>
    </row>
    <row r="202" spans="1:6" x14ac:dyDescent="0.25">
      <c r="A202" s="118"/>
      <c r="B202" s="118"/>
      <c r="C202" s="118"/>
      <c r="D202" s="118"/>
      <c r="E202" s="122"/>
      <c r="F202" s="118"/>
    </row>
    <row r="203" spans="1:6" x14ac:dyDescent="0.25">
      <c r="A203" s="118"/>
      <c r="B203" s="118"/>
      <c r="C203" s="118"/>
      <c r="D203" s="118"/>
      <c r="E203" s="122"/>
      <c r="F203" s="118"/>
    </row>
    <row r="204" spans="1:6" x14ac:dyDescent="0.25">
      <c r="A204" s="118"/>
      <c r="B204" s="118"/>
      <c r="C204" s="118"/>
      <c r="D204" s="118"/>
      <c r="E204" s="122"/>
      <c r="F204" s="118"/>
    </row>
    <row r="205" spans="1:6" x14ac:dyDescent="0.25">
      <c r="A205" s="118"/>
      <c r="B205" s="118"/>
      <c r="C205" s="118"/>
      <c r="D205" s="118"/>
      <c r="E205" s="122"/>
      <c r="F205" s="118"/>
    </row>
    <row r="206" spans="1:6" x14ac:dyDescent="0.25">
      <c r="A206" s="118"/>
      <c r="B206" s="118"/>
      <c r="C206" s="118"/>
      <c r="D206" s="118"/>
      <c r="E206" s="122"/>
      <c r="F206" s="118"/>
    </row>
    <row r="207" spans="1:6" x14ac:dyDescent="0.25">
      <c r="A207" s="118"/>
      <c r="B207" s="118"/>
      <c r="C207" s="118"/>
      <c r="D207" s="118"/>
      <c r="E207" s="122"/>
      <c r="F207" s="118"/>
    </row>
    <row r="208" spans="1:6" x14ac:dyDescent="0.25">
      <c r="A208" s="118"/>
      <c r="B208" s="118"/>
      <c r="C208" s="118"/>
      <c r="D208" s="118"/>
      <c r="E208" s="122"/>
      <c r="F208" s="118"/>
    </row>
    <row r="209" spans="1:6" x14ac:dyDescent="0.25">
      <c r="A209" s="118"/>
      <c r="B209" s="118"/>
      <c r="C209" s="118"/>
      <c r="D209" s="118"/>
      <c r="E209" s="122"/>
      <c r="F209" s="118"/>
    </row>
    <row r="210" spans="1:6" x14ac:dyDescent="0.25">
      <c r="A210" s="118"/>
      <c r="B210" s="118"/>
      <c r="C210" s="118"/>
      <c r="D210" s="118"/>
      <c r="E210" s="122"/>
      <c r="F210" s="118"/>
    </row>
    <row r="211" spans="1:6" x14ac:dyDescent="0.25">
      <c r="A211" s="118"/>
      <c r="B211" s="118"/>
      <c r="C211" s="118"/>
      <c r="D211" s="118"/>
      <c r="E211" s="122"/>
      <c r="F211" s="118"/>
    </row>
    <row r="212" spans="1:6" x14ac:dyDescent="0.25">
      <c r="A212" s="118"/>
      <c r="B212" s="118"/>
      <c r="C212" s="118"/>
      <c r="D212" s="118"/>
      <c r="E212" s="122"/>
      <c r="F212" s="118"/>
    </row>
    <row r="213" spans="1:6" x14ac:dyDescent="0.25">
      <c r="A213" s="118"/>
      <c r="B213" s="118"/>
      <c r="C213" s="118"/>
      <c r="D213" s="118"/>
      <c r="E213" s="122"/>
      <c r="F213" s="118"/>
    </row>
    <row r="214" spans="1:6" x14ac:dyDescent="0.25">
      <c r="A214" s="118"/>
      <c r="B214" s="118"/>
      <c r="C214" s="118"/>
      <c r="D214" s="118"/>
      <c r="E214" s="122"/>
      <c r="F214" s="118"/>
    </row>
    <row r="215" spans="1:6" x14ac:dyDescent="0.25">
      <c r="A215" s="118"/>
      <c r="B215" s="118"/>
      <c r="C215" s="118"/>
      <c r="D215" s="118"/>
      <c r="E215" s="122"/>
      <c r="F215" s="118"/>
    </row>
    <row r="216" spans="1:6" x14ac:dyDescent="0.25">
      <c r="A216" s="118"/>
      <c r="B216" s="118"/>
      <c r="C216" s="118"/>
      <c r="D216" s="118"/>
      <c r="E216" s="122"/>
      <c r="F216" s="118"/>
    </row>
    <row r="217" spans="1:6" x14ac:dyDescent="0.25">
      <c r="A217" s="118"/>
      <c r="B217" s="118"/>
      <c r="C217" s="118"/>
      <c r="D217" s="118"/>
      <c r="E217" s="122"/>
      <c r="F217" s="118"/>
    </row>
    <row r="218" spans="1:6" x14ac:dyDescent="0.25">
      <c r="A218" s="118"/>
      <c r="B218" s="118"/>
      <c r="C218" s="118"/>
      <c r="D218" s="118"/>
      <c r="E218" s="122"/>
      <c r="F218" s="118"/>
    </row>
    <row r="219" spans="1:6" x14ac:dyDescent="0.25">
      <c r="A219" s="118"/>
      <c r="B219" s="118"/>
      <c r="C219" s="118"/>
      <c r="D219" s="118"/>
      <c r="E219" s="122"/>
      <c r="F219" s="118"/>
    </row>
    <row r="220" spans="1:6" x14ac:dyDescent="0.25">
      <c r="A220" s="118"/>
      <c r="B220" s="118"/>
      <c r="C220" s="118"/>
      <c r="D220" s="118"/>
      <c r="E220" s="122"/>
      <c r="F220" s="118"/>
    </row>
    <row r="221" spans="1:6" x14ac:dyDescent="0.25">
      <c r="A221" s="118"/>
      <c r="B221" s="118"/>
      <c r="C221" s="118"/>
      <c r="D221" s="118"/>
      <c r="E221" s="122"/>
      <c r="F221" s="118"/>
    </row>
    <row r="222" spans="1:6" x14ac:dyDescent="0.25">
      <c r="A222" s="118"/>
      <c r="B222" s="118"/>
      <c r="C222" s="118"/>
      <c r="D222" s="118"/>
      <c r="E222" s="122"/>
      <c r="F222" s="118"/>
    </row>
    <row r="223" spans="1:6" x14ac:dyDescent="0.25">
      <c r="A223" s="118"/>
      <c r="B223" s="118"/>
      <c r="C223" s="118"/>
      <c r="D223" s="118"/>
      <c r="E223" s="122"/>
      <c r="F223" s="118"/>
    </row>
    <row r="224" spans="1:6" x14ac:dyDescent="0.25">
      <c r="A224" s="118"/>
      <c r="B224" s="118"/>
      <c r="C224" s="118"/>
      <c r="D224" s="118"/>
      <c r="E224" s="122"/>
      <c r="F224" s="118"/>
    </row>
    <row r="225" spans="1:6" x14ac:dyDescent="0.25">
      <c r="A225" s="118"/>
      <c r="B225" s="118"/>
      <c r="C225" s="118"/>
      <c r="D225" s="118"/>
      <c r="E225" s="122"/>
      <c r="F225" s="118"/>
    </row>
    <row r="226" spans="1:6" x14ac:dyDescent="0.25">
      <c r="A226" s="118"/>
      <c r="B226" s="118"/>
      <c r="C226" s="118"/>
      <c r="D226" s="118"/>
      <c r="E226" s="122"/>
      <c r="F226" s="118"/>
    </row>
    <row r="227" spans="1:6" x14ac:dyDescent="0.25">
      <c r="A227" s="118"/>
      <c r="B227" s="118"/>
      <c r="C227" s="118"/>
      <c r="D227" s="118"/>
      <c r="E227" s="122"/>
      <c r="F227" s="118"/>
    </row>
    <row r="228" spans="1:6" x14ac:dyDescent="0.25">
      <c r="A228" s="118"/>
      <c r="B228" s="118"/>
      <c r="C228" s="118"/>
      <c r="D228" s="118"/>
      <c r="E228" s="122"/>
      <c r="F228" s="118"/>
    </row>
    <row r="229" spans="1:6" x14ac:dyDescent="0.25">
      <c r="A229" s="118"/>
      <c r="B229" s="118"/>
      <c r="C229" s="118"/>
      <c r="D229" s="118"/>
      <c r="E229" s="122"/>
      <c r="F229" s="118"/>
    </row>
    <row r="230" spans="1:6" x14ac:dyDescent="0.25">
      <c r="A230" s="118"/>
      <c r="B230" s="118"/>
      <c r="C230" s="118"/>
      <c r="D230" s="118"/>
      <c r="E230" s="122"/>
      <c r="F230" s="118"/>
    </row>
    <row r="231" spans="1:6" x14ac:dyDescent="0.25">
      <c r="A231" s="118"/>
      <c r="B231" s="118"/>
      <c r="C231" s="118"/>
      <c r="D231" s="118"/>
      <c r="E231" s="122"/>
      <c r="F231" s="118"/>
    </row>
    <row r="232" spans="1:6" x14ac:dyDescent="0.25">
      <c r="A232" s="118"/>
      <c r="B232" s="118"/>
      <c r="C232" s="118"/>
      <c r="D232" s="118"/>
      <c r="E232" s="122"/>
      <c r="F232" s="118"/>
    </row>
    <row r="233" spans="1:6" x14ac:dyDescent="0.25">
      <c r="A233" s="118"/>
      <c r="B233" s="118"/>
      <c r="C233" s="118"/>
      <c r="D233" s="118"/>
      <c r="E233" s="122"/>
      <c r="F233" s="118"/>
    </row>
    <row r="234" spans="1:6" x14ac:dyDescent="0.25">
      <c r="A234" s="118"/>
      <c r="B234" s="118"/>
      <c r="C234" s="118"/>
      <c r="D234" s="118"/>
      <c r="E234" s="122"/>
      <c r="F234" s="118"/>
    </row>
    <row r="235" spans="1:6" x14ac:dyDescent="0.25">
      <c r="A235" s="118"/>
      <c r="B235" s="118"/>
      <c r="C235" s="118"/>
      <c r="D235" s="118"/>
      <c r="E235" s="122"/>
      <c r="F235" s="118"/>
    </row>
    <row r="236" spans="1:6" x14ac:dyDescent="0.25">
      <c r="A236" s="118"/>
      <c r="B236" s="118"/>
      <c r="C236" s="118"/>
      <c r="D236" s="118"/>
      <c r="E236" s="122"/>
      <c r="F236" s="118"/>
    </row>
    <row r="237" spans="1:6" x14ac:dyDescent="0.25">
      <c r="A237" s="118"/>
      <c r="B237" s="118"/>
      <c r="C237" s="118"/>
      <c r="D237" s="118"/>
      <c r="E237" s="122"/>
      <c r="F237" s="118"/>
    </row>
    <row r="238" spans="1:6" x14ac:dyDescent="0.25">
      <c r="A238" s="118"/>
      <c r="B238" s="118"/>
      <c r="C238" s="118"/>
      <c r="D238" s="118"/>
      <c r="E238" s="122"/>
      <c r="F238" s="118"/>
    </row>
    <row r="239" spans="1:6" x14ac:dyDescent="0.25">
      <c r="A239" s="118"/>
      <c r="B239" s="118"/>
      <c r="C239" s="118"/>
      <c r="D239" s="118"/>
      <c r="E239" s="122"/>
      <c r="F239" s="118"/>
    </row>
    <row r="240" spans="1:6" x14ac:dyDescent="0.25">
      <c r="A240" s="118"/>
      <c r="B240" s="118"/>
      <c r="C240" s="118"/>
      <c r="D240" s="118"/>
      <c r="E240" s="122"/>
      <c r="F240" s="118"/>
    </row>
    <row r="241" spans="1:6" x14ac:dyDescent="0.25">
      <c r="A241" s="118"/>
      <c r="B241" s="118"/>
      <c r="C241" s="118"/>
      <c r="D241" s="118"/>
      <c r="E241" s="122"/>
      <c r="F241" s="118"/>
    </row>
    <row r="242" spans="1:6" x14ac:dyDescent="0.25">
      <c r="A242" s="118"/>
      <c r="B242" s="118"/>
      <c r="C242" s="118"/>
      <c r="D242" s="118"/>
      <c r="E242" s="122"/>
      <c r="F242" s="118"/>
    </row>
    <row r="243" spans="1:6" x14ac:dyDescent="0.25">
      <c r="A243" s="118"/>
      <c r="B243" s="118"/>
      <c r="C243" s="118"/>
      <c r="D243" s="118"/>
      <c r="E243" s="122"/>
      <c r="F243" s="118"/>
    </row>
    <row r="244" spans="1:6" x14ac:dyDescent="0.25">
      <c r="A244" s="118"/>
      <c r="B244" s="118"/>
      <c r="C244" s="118"/>
      <c r="D244" s="118"/>
      <c r="E244" s="122"/>
      <c r="F244" s="118"/>
    </row>
    <row r="245" spans="1:6" x14ac:dyDescent="0.25">
      <c r="A245" s="118"/>
      <c r="B245" s="118"/>
      <c r="C245" s="118"/>
      <c r="D245" s="118"/>
      <c r="E245" s="122"/>
      <c r="F245" s="118"/>
    </row>
    <row r="246" spans="1:6" x14ac:dyDescent="0.25">
      <c r="A246" s="118"/>
      <c r="B246" s="118"/>
      <c r="C246" s="118"/>
      <c r="D246" s="118"/>
      <c r="E246" s="122"/>
      <c r="F246" s="118"/>
    </row>
    <row r="247" spans="1:6" x14ac:dyDescent="0.25">
      <c r="A247" s="118"/>
      <c r="B247" s="118"/>
      <c r="C247" s="118"/>
      <c r="D247" s="118"/>
      <c r="E247" s="122"/>
      <c r="F247" s="118"/>
    </row>
    <row r="248" spans="1:6" x14ac:dyDescent="0.25">
      <c r="A248" s="118"/>
      <c r="B248" s="118"/>
      <c r="C248" s="118"/>
      <c r="D248" s="118"/>
      <c r="E248" s="122"/>
      <c r="F248" s="118"/>
    </row>
    <row r="249" spans="1:6" x14ac:dyDescent="0.25">
      <c r="A249" s="118"/>
      <c r="B249" s="118"/>
      <c r="C249" s="118"/>
      <c r="D249" s="118"/>
      <c r="E249" s="122"/>
      <c r="F249" s="118"/>
    </row>
    <row r="250" spans="1:6" x14ac:dyDescent="0.25">
      <c r="A250" s="118"/>
      <c r="B250" s="118"/>
      <c r="C250" s="118"/>
      <c r="D250" s="118"/>
      <c r="E250" s="122"/>
      <c r="F250" s="118"/>
    </row>
    <row r="251" spans="1:6" x14ac:dyDescent="0.25">
      <c r="A251" s="118"/>
      <c r="B251" s="118"/>
      <c r="C251" s="118"/>
      <c r="D251" s="118"/>
      <c r="E251" s="122"/>
      <c r="F251" s="118"/>
    </row>
    <row r="252" spans="1:6" x14ac:dyDescent="0.25">
      <c r="A252" s="118"/>
      <c r="B252" s="118"/>
      <c r="C252" s="118"/>
      <c r="D252" s="118"/>
      <c r="E252" s="122"/>
      <c r="F252" s="118"/>
    </row>
    <row r="253" spans="1:6" x14ac:dyDescent="0.25">
      <c r="A253" s="118"/>
      <c r="B253" s="118"/>
      <c r="C253" s="118"/>
      <c r="D253" s="118"/>
      <c r="E253" s="122"/>
      <c r="F253" s="118"/>
    </row>
    <row r="254" spans="1:6" x14ac:dyDescent="0.25">
      <c r="A254" s="118"/>
      <c r="B254" s="118"/>
      <c r="C254" s="118"/>
      <c r="D254" s="118"/>
      <c r="E254" s="122"/>
      <c r="F254" s="118"/>
    </row>
    <row r="255" spans="1:6" x14ac:dyDescent="0.25">
      <c r="A255" s="118"/>
      <c r="B255" s="118"/>
      <c r="C255" s="118"/>
      <c r="D255" s="118"/>
      <c r="E255" s="122"/>
      <c r="F255" s="118"/>
    </row>
    <row r="256" spans="1:6" x14ac:dyDescent="0.25">
      <c r="A256" s="118"/>
      <c r="B256" s="118"/>
      <c r="C256" s="118"/>
      <c r="D256" s="118"/>
      <c r="E256" s="122"/>
      <c r="F256" s="118"/>
    </row>
    <row r="257" spans="1:6" x14ac:dyDescent="0.25">
      <c r="A257" s="118"/>
      <c r="B257" s="118"/>
      <c r="C257" s="118"/>
      <c r="D257" s="118"/>
      <c r="E257" s="122"/>
      <c r="F257" s="118"/>
    </row>
    <row r="258" spans="1:6" x14ac:dyDescent="0.25">
      <c r="A258" s="118"/>
      <c r="B258" s="118"/>
      <c r="C258" s="118"/>
      <c r="D258" s="118"/>
      <c r="E258" s="122"/>
      <c r="F258" s="118"/>
    </row>
    <row r="259" spans="1:6" x14ac:dyDescent="0.25">
      <c r="A259" s="118"/>
      <c r="B259" s="118"/>
      <c r="C259" s="118"/>
      <c r="D259" s="118"/>
      <c r="E259" s="122"/>
      <c r="F259" s="118"/>
    </row>
    <row r="260" spans="1:6" x14ac:dyDescent="0.25">
      <c r="A260" s="118"/>
      <c r="B260" s="118"/>
      <c r="C260" s="118"/>
      <c r="D260" s="118"/>
      <c r="E260" s="122"/>
      <c r="F260" s="118"/>
    </row>
    <row r="261" spans="1:6" x14ac:dyDescent="0.25">
      <c r="A261" s="118"/>
      <c r="B261" s="118"/>
      <c r="C261" s="118"/>
      <c r="D261" s="118"/>
      <c r="E261" s="122"/>
      <c r="F261" s="118"/>
    </row>
    <row r="262" spans="1:6" x14ac:dyDescent="0.25">
      <c r="A262" s="118"/>
      <c r="B262" s="118"/>
      <c r="C262" s="118"/>
      <c r="D262" s="118"/>
      <c r="E262" s="122"/>
      <c r="F262" s="118"/>
    </row>
    <row r="263" spans="1:6" x14ac:dyDescent="0.25">
      <c r="A263" s="118"/>
      <c r="B263" s="118"/>
      <c r="C263" s="118"/>
      <c r="D263" s="118"/>
      <c r="E263" s="122"/>
      <c r="F263" s="118"/>
    </row>
    <row r="264" spans="1:6" x14ac:dyDescent="0.25">
      <c r="A264" s="118"/>
      <c r="B264" s="118"/>
      <c r="C264" s="118"/>
      <c r="D264" s="118"/>
      <c r="E264" s="122"/>
      <c r="F264" s="118"/>
    </row>
    <row r="265" spans="1:6" x14ac:dyDescent="0.25">
      <c r="A265" s="118"/>
      <c r="B265" s="118"/>
      <c r="C265" s="118"/>
      <c r="D265" s="118"/>
      <c r="E265" s="122"/>
      <c r="F265" s="118"/>
    </row>
    <row r="266" spans="1:6" x14ac:dyDescent="0.25">
      <c r="A266" s="118"/>
      <c r="B266" s="118"/>
      <c r="C266" s="118"/>
      <c r="D266" s="118"/>
      <c r="E266" s="122"/>
      <c r="F266" s="118"/>
    </row>
    <row r="267" spans="1:6" x14ac:dyDescent="0.25">
      <c r="A267" s="118"/>
      <c r="B267" s="118"/>
      <c r="C267" s="118"/>
      <c r="D267" s="118"/>
      <c r="E267" s="122"/>
      <c r="F267" s="118"/>
    </row>
    <row r="268" spans="1:6" x14ac:dyDescent="0.25">
      <c r="A268" s="118"/>
      <c r="B268" s="118"/>
      <c r="C268" s="118"/>
      <c r="D268" s="118"/>
      <c r="E268" s="122"/>
      <c r="F268" s="118"/>
    </row>
    <row r="269" spans="1:6" x14ac:dyDescent="0.25">
      <c r="A269" s="118"/>
      <c r="B269" s="118"/>
      <c r="C269" s="118"/>
      <c r="D269" s="118"/>
      <c r="E269" s="122"/>
      <c r="F269" s="118"/>
    </row>
    <row r="270" spans="1:6" x14ac:dyDescent="0.25">
      <c r="A270" s="118"/>
      <c r="B270" s="118"/>
      <c r="C270" s="118"/>
      <c r="D270" s="118"/>
      <c r="E270" s="122"/>
      <c r="F270" s="118"/>
    </row>
    <row r="271" spans="1:6" x14ac:dyDescent="0.25">
      <c r="A271" s="118"/>
      <c r="B271" s="118"/>
      <c r="C271" s="118"/>
      <c r="D271" s="118"/>
      <c r="E271" s="122"/>
      <c r="F271" s="118"/>
    </row>
    <row r="272" spans="1:6" x14ac:dyDescent="0.25">
      <c r="A272" s="118"/>
      <c r="B272" s="118"/>
      <c r="C272" s="118"/>
      <c r="D272" s="118"/>
      <c r="E272" s="122"/>
      <c r="F272" s="118"/>
    </row>
    <row r="273" spans="1:6" x14ac:dyDescent="0.25">
      <c r="A273" s="118"/>
      <c r="B273" s="118"/>
      <c r="C273" s="118"/>
      <c r="D273" s="118"/>
      <c r="E273" s="122"/>
      <c r="F273" s="118"/>
    </row>
    <row r="274" spans="1:6" x14ac:dyDescent="0.25">
      <c r="A274" s="118"/>
      <c r="B274" s="118"/>
      <c r="C274" s="118"/>
      <c r="D274" s="118"/>
      <c r="E274" s="122"/>
      <c r="F274" s="118"/>
    </row>
    <row r="275" spans="1:6" x14ac:dyDescent="0.25">
      <c r="A275" s="118"/>
      <c r="B275" s="118"/>
      <c r="C275" s="118"/>
      <c r="D275" s="118"/>
      <c r="E275" s="122"/>
      <c r="F275" s="118"/>
    </row>
    <row r="276" spans="1:6" x14ac:dyDescent="0.25">
      <c r="A276" s="118"/>
      <c r="B276" s="118"/>
      <c r="C276" s="118"/>
      <c r="D276" s="118"/>
      <c r="E276" s="122"/>
      <c r="F276" s="118"/>
    </row>
    <row r="277" spans="1:6" x14ac:dyDescent="0.25">
      <c r="A277" s="118"/>
      <c r="B277" s="118"/>
      <c r="C277" s="118"/>
      <c r="D277" s="118"/>
      <c r="E277" s="122"/>
      <c r="F277" s="118"/>
    </row>
    <row r="278" spans="1:6" x14ac:dyDescent="0.25">
      <c r="A278" s="118"/>
      <c r="B278" s="118"/>
      <c r="C278" s="118"/>
      <c r="D278" s="118"/>
      <c r="E278" s="122"/>
      <c r="F278" s="118"/>
    </row>
    <row r="279" spans="1:6" x14ac:dyDescent="0.25">
      <c r="A279" s="118"/>
      <c r="B279" s="118"/>
      <c r="C279" s="118"/>
      <c r="D279" s="118"/>
      <c r="E279" s="122"/>
      <c r="F279" s="118"/>
    </row>
    <row r="280" spans="1:6" x14ac:dyDescent="0.25">
      <c r="A280" s="118"/>
      <c r="B280" s="118"/>
      <c r="C280" s="118"/>
      <c r="D280" s="118"/>
      <c r="E280" s="122"/>
      <c r="F280" s="118"/>
    </row>
    <row r="281" spans="1:6" x14ac:dyDescent="0.25">
      <c r="A281" s="118"/>
      <c r="B281" s="118"/>
      <c r="C281" s="118"/>
      <c r="D281" s="118"/>
      <c r="E281" s="122"/>
      <c r="F281" s="118"/>
    </row>
    <row r="282" spans="1:6" x14ac:dyDescent="0.25">
      <c r="A282" s="118"/>
      <c r="B282" s="118"/>
      <c r="C282" s="118"/>
      <c r="D282" s="118"/>
      <c r="E282" s="122"/>
      <c r="F282" s="118"/>
    </row>
    <row r="283" spans="1:6" x14ac:dyDescent="0.25">
      <c r="A283" s="118"/>
      <c r="B283" s="118"/>
      <c r="C283" s="118"/>
      <c r="D283" s="118"/>
      <c r="E283" s="122"/>
      <c r="F283" s="118"/>
    </row>
    <row r="284" spans="1:6" x14ac:dyDescent="0.25">
      <c r="A284" s="118"/>
      <c r="B284" s="118"/>
      <c r="C284" s="118"/>
      <c r="D284" s="118"/>
      <c r="E284" s="122"/>
      <c r="F284" s="118"/>
    </row>
    <row r="285" spans="1:6" x14ac:dyDescent="0.25">
      <c r="A285" s="118"/>
      <c r="B285" s="118"/>
      <c r="C285" s="118"/>
      <c r="D285" s="118"/>
      <c r="E285" s="122"/>
      <c r="F285" s="118"/>
    </row>
    <row r="286" spans="1:6" x14ac:dyDescent="0.25">
      <c r="A286" s="118"/>
      <c r="B286" s="118"/>
      <c r="C286" s="118"/>
      <c r="D286" s="118"/>
      <c r="E286" s="122"/>
      <c r="F286" s="118"/>
    </row>
    <row r="287" spans="1:6" x14ac:dyDescent="0.25">
      <c r="A287" s="118"/>
      <c r="B287" s="118"/>
      <c r="C287" s="118"/>
      <c r="D287" s="118"/>
      <c r="E287" s="122"/>
      <c r="F287" s="118"/>
    </row>
    <row r="288" spans="1:6" x14ac:dyDescent="0.25">
      <c r="A288" s="118"/>
      <c r="B288" s="118"/>
      <c r="C288" s="118"/>
      <c r="D288" s="118"/>
      <c r="E288" s="122"/>
      <c r="F288" s="118"/>
    </row>
    <row r="289" spans="1:6" x14ac:dyDescent="0.25">
      <c r="A289" s="118"/>
      <c r="B289" s="118"/>
      <c r="C289" s="118"/>
      <c r="D289" s="118"/>
      <c r="E289" s="122"/>
      <c r="F289" s="118"/>
    </row>
    <row r="290" spans="1:6" x14ac:dyDescent="0.25">
      <c r="A290" s="118"/>
      <c r="B290" s="118"/>
      <c r="C290" s="118"/>
      <c r="D290" s="118"/>
      <c r="E290" s="122"/>
      <c r="F290" s="118"/>
    </row>
    <row r="291" spans="1:6" x14ac:dyDescent="0.25">
      <c r="A291" s="118"/>
      <c r="B291" s="118"/>
      <c r="C291" s="118"/>
      <c r="D291" s="118"/>
      <c r="E291" s="122"/>
      <c r="F291" s="118"/>
    </row>
    <row r="292" spans="1:6" x14ac:dyDescent="0.25">
      <c r="A292" s="118"/>
      <c r="B292" s="118"/>
      <c r="C292" s="118"/>
      <c r="D292" s="118"/>
      <c r="E292" s="122"/>
      <c r="F292" s="118"/>
    </row>
    <row r="293" spans="1:6" x14ac:dyDescent="0.25">
      <c r="A293" s="118"/>
      <c r="B293" s="118"/>
      <c r="C293" s="118"/>
      <c r="D293" s="118"/>
      <c r="E293" s="122"/>
      <c r="F293" s="118"/>
    </row>
    <row r="294" spans="1:6" x14ac:dyDescent="0.25">
      <c r="A294" s="118"/>
      <c r="B294" s="118"/>
      <c r="C294" s="118"/>
      <c r="D294" s="118"/>
      <c r="E294" s="122"/>
      <c r="F294" s="118"/>
    </row>
    <row r="295" spans="1:6" x14ac:dyDescent="0.25">
      <c r="A295" s="118"/>
      <c r="B295" s="118"/>
      <c r="C295" s="118"/>
      <c r="D295" s="118"/>
      <c r="E295" s="122"/>
      <c r="F295" s="118"/>
    </row>
    <row r="296" spans="1:6" x14ac:dyDescent="0.25">
      <c r="A296" s="118"/>
      <c r="B296" s="118"/>
      <c r="C296" s="118"/>
      <c r="D296" s="118"/>
      <c r="E296" s="122"/>
      <c r="F296" s="118"/>
    </row>
    <row r="297" spans="1:6" x14ac:dyDescent="0.25">
      <c r="A297" s="118"/>
      <c r="B297" s="118"/>
      <c r="C297" s="118"/>
      <c r="D297" s="118"/>
      <c r="E297" s="122"/>
      <c r="F297" s="118"/>
    </row>
    <row r="298" spans="1:6" x14ac:dyDescent="0.25">
      <c r="A298" s="118"/>
      <c r="B298" s="118"/>
      <c r="C298" s="118"/>
      <c r="D298" s="118"/>
      <c r="E298" s="122"/>
      <c r="F298" s="118"/>
    </row>
    <row r="299" spans="1:6" x14ac:dyDescent="0.25">
      <c r="A299" s="118"/>
      <c r="B299" s="118"/>
      <c r="C299" s="118"/>
      <c r="D299" s="118"/>
      <c r="E299" s="122"/>
      <c r="F299" s="118"/>
    </row>
    <row r="300" spans="1:6" x14ac:dyDescent="0.25">
      <c r="A300" s="118"/>
      <c r="B300" s="118"/>
      <c r="C300" s="118"/>
      <c r="D300" s="118"/>
      <c r="E300" s="122"/>
      <c r="F300" s="118"/>
    </row>
    <row r="301" spans="1:6" x14ac:dyDescent="0.25">
      <c r="A301" s="118"/>
      <c r="B301" s="118"/>
      <c r="C301" s="118"/>
      <c r="D301" s="118"/>
      <c r="E301" s="122"/>
      <c r="F301" s="118"/>
    </row>
    <row r="302" spans="1:6" x14ac:dyDescent="0.25">
      <c r="A302" s="118"/>
      <c r="B302" s="118"/>
      <c r="C302" s="118"/>
      <c r="D302" s="118"/>
      <c r="E302" s="122"/>
      <c r="F302" s="118"/>
    </row>
    <row r="303" spans="1:6" x14ac:dyDescent="0.25">
      <c r="A303" s="118"/>
      <c r="B303" s="118"/>
      <c r="C303" s="118"/>
      <c r="D303" s="118"/>
      <c r="E303" s="122"/>
      <c r="F303" s="118"/>
    </row>
    <row r="304" spans="1:6" x14ac:dyDescent="0.25">
      <c r="A304" s="118"/>
      <c r="B304" s="118"/>
      <c r="C304" s="118"/>
      <c r="D304" s="118"/>
      <c r="E304" s="122"/>
      <c r="F304" s="118"/>
    </row>
    <row r="305" spans="1:6" x14ac:dyDescent="0.25">
      <c r="A305" s="118"/>
      <c r="B305" s="118"/>
      <c r="C305" s="118"/>
      <c r="D305" s="118"/>
      <c r="E305" s="122"/>
      <c r="F305" s="118"/>
    </row>
    <row r="306" spans="1:6" x14ac:dyDescent="0.25">
      <c r="A306" s="118"/>
      <c r="B306" s="118"/>
      <c r="C306" s="118"/>
      <c r="D306" s="118"/>
      <c r="E306" s="122"/>
      <c r="F306" s="118"/>
    </row>
    <row r="307" spans="1:6" x14ac:dyDescent="0.25">
      <c r="A307" s="118"/>
      <c r="B307" s="118"/>
      <c r="C307" s="118"/>
      <c r="D307" s="118"/>
      <c r="E307" s="122"/>
      <c r="F307" s="118"/>
    </row>
    <row r="308" spans="1:6" x14ac:dyDescent="0.25">
      <c r="A308" s="118"/>
      <c r="B308" s="118"/>
      <c r="C308" s="118"/>
      <c r="D308" s="118"/>
      <c r="E308" s="122"/>
      <c r="F308" s="118"/>
    </row>
    <row r="309" spans="1:6" x14ac:dyDescent="0.25">
      <c r="A309" s="118"/>
      <c r="B309" s="118"/>
      <c r="C309" s="118"/>
      <c r="D309" s="118"/>
      <c r="E309" s="122"/>
      <c r="F309" s="118"/>
    </row>
    <row r="310" spans="1:6" x14ac:dyDescent="0.25">
      <c r="A310" s="118"/>
      <c r="B310" s="118"/>
      <c r="C310" s="118"/>
      <c r="D310" s="118"/>
      <c r="E310" s="122"/>
      <c r="F310" s="118"/>
    </row>
    <row r="311" spans="1:6" x14ac:dyDescent="0.25">
      <c r="A311" s="118"/>
      <c r="B311" s="118"/>
      <c r="C311" s="118"/>
      <c r="D311" s="118"/>
      <c r="E311" s="122"/>
      <c r="F311" s="118"/>
    </row>
    <row r="312" spans="1:6" x14ac:dyDescent="0.25">
      <c r="A312" s="118"/>
      <c r="B312" s="118"/>
      <c r="C312" s="118"/>
      <c r="D312" s="118"/>
      <c r="E312" s="122"/>
      <c r="F312" s="118"/>
    </row>
    <row r="313" spans="1:6" x14ac:dyDescent="0.25">
      <c r="A313" s="118"/>
      <c r="B313" s="118"/>
      <c r="C313" s="118"/>
      <c r="D313" s="118"/>
      <c r="E313" s="122"/>
      <c r="F313" s="118"/>
    </row>
    <row r="314" spans="1:6" x14ac:dyDescent="0.25">
      <c r="A314" s="118"/>
      <c r="B314" s="118"/>
      <c r="C314" s="118"/>
      <c r="D314" s="118"/>
      <c r="E314" s="122"/>
      <c r="F314" s="118"/>
    </row>
    <row r="315" spans="1:6" x14ac:dyDescent="0.25">
      <c r="A315" s="118"/>
      <c r="B315" s="118"/>
      <c r="C315" s="118"/>
      <c r="D315" s="118"/>
      <c r="E315" s="122"/>
      <c r="F315" s="118"/>
    </row>
    <row r="316" spans="1:6" x14ac:dyDescent="0.25">
      <c r="A316" s="118"/>
      <c r="B316" s="118"/>
      <c r="C316" s="118"/>
      <c r="D316" s="118"/>
      <c r="E316" s="122"/>
      <c r="F316" s="118"/>
    </row>
    <row r="317" spans="1:6" x14ac:dyDescent="0.25">
      <c r="A317" s="118"/>
      <c r="B317" s="118"/>
      <c r="C317" s="118"/>
      <c r="D317" s="118"/>
      <c r="E317" s="122"/>
      <c r="F317" s="118"/>
    </row>
    <row r="318" spans="1:6" x14ac:dyDescent="0.25">
      <c r="A318" s="118"/>
      <c r="B318" s="118"/>
      <c r="C318" s="118"/>
      <c r="D318" s="118"/>
      <c r="E318" s="122"/>
      <c r="F318" s="118"/>
    </row>
    <row r="319" spans="1:6" x14ac:dyDescent="0.25">
      <c r="A319" s="118"/>
      <c r="B319" s="118"/>
      <c r="C319" s="118"/>
      <c r="D319" s="118"/>
      <c r="E319" s="122"/>
      <c r="F319" s="118"/>
    </row>
    <row r="320" spans="1:6" x14ac:dyDescent="0.25">
      <c r="A320" s="118"/>
      <c r="B320" s="118"/>
      <c r="C320" s="118"/>
      <c r="D320" s="118"/>
      <c r="E320" s="122"/>
      <c r="F320" s="118"/>
    </row>
    <row r="321" spans="1:6" x14ac:dyDescent="0.25">
      <c r="A321" s="118"/>
      <c r="B321" s="118"/>
      <c r="C321" s="118"/>
      <c r="D321" s="118"/>
      <c r="E321" s="122"/>
      <c r="F321" s="118"/>
    </row>
    <row r="322" spans="1:6" x14ac:dyDescent="0.25">
      <c r="A322" s="118"/>
      <c r="B322" s="118"/>
      <c r="C322" s="118"/>
      <c r="D322" s="118"/>
      <c r="E322" s="122"/>
      <c r="F322" s="118"/>
    </row>
    <row r="323" spans="1:6" x14ac:dyDescent="0.25">
      <c r="A323" s="118"/>
      <c r="B323" s="118"/>
      <c r="C323" s="118"/>
      <c r="D323" s="118"/>
      <c r="E323" s="122"/>
      <c r="F323" s="118"/>
    </row>
    <row r="324" spans="1:6" x14ac:dyDescent="0.25">
      <c r="A324" s="118"/>
      <c r="B324" s="118"/>
      <c r="C324" s="118"/>
      <c r="D324" s="118"/>
      <c r="E324" s="122"/>
      <c r="F324" s="118"/>
    </row>
    <row r="325" spans="1:6" x14ac:dyDescent="0.25">
      <c r="A325" s="118"/>
      <c r="B325" s="118"/>
      <c r="C325" s="118"/>
      <c r="D325" s="118"/>
      <c r="E325" s="122"/>
      <c r="F325" s="118"/>
    </row>
    <row r="326" spans="1:6" x14ac:dyDescent="0.25">
      <c r="A326" s="118"/>
      <c r="B326" s="118"/>
      <c r="C326" s="118"/>
      <c r="D326" s="118"/>
      <c r="E326" s="122"/>
      <c r="F326" s="118"/>
    </row>
    <row r="327" spans="1:6" x14ac:dyDescent="0.25">
      <c r="A327" s="118"/>
      <c r="B327" s="118"/>
      <c r="C327" s="118"/>
      <c r="D327" s="118"/>
      <c r="E327" s="122"/>
      <c r="F327" s="118"/>
    </row>
    <row r="328" spans="1:6" x14ac:dyDescent="0.25">
      <c r="A328" s="118"/>
      <c r="B328" s="118"/>
      <c r="C328" s="118"/>
      <c r="D328" s="118"/>
      <c r="E328" s="122"/>
      <c r="F328" s="118"/>
    </row>
    <row r="329" spans="1:6" x14ac:dyDescent="0.25">
      <c r="A329" s="118"/>
      <c r="B329" s="118"/>
      <c r="C329" s="118"/>
      <c r="D329" s="118"/>
      <c r="E329" s="122"/>
      <c r="F329" s="118"/>
    </row>
    <row r="330" spans="1:6" x14ac:dyDescent="0.25">
      <c r="A330" s="118"/>
      <c r="B330" s="118"/>
      <c r="C330" s="118"/>
      <c r="D330" s="118"/>
      <c r="E330" s="122"/>
      <c r="F330" s="118"/>
    </row>
    <row r="331" spans="1:6" x14ac:dyDescent="0.25">
      <c r="A331" s="118"/>
      <c r="B331" s="118"/>
      <c r="C331" s="118"/>
      <c r="D331" s="118"/>
      <c r="E331" s="122"/>
      <c r="F331" s="118"/>
    </row>
    <row r="332" spans="1:6" x14ac:dyDescent="0.25">
      <c r="A332" s="118"/>
      <c r="B332" s="118"/>
      <c r="C332" s="118"/>
      <c r="D332" s="118"/>
      <c r="E332" s="122"/>
      <c r="F332" s="118"/>
    </row>
    <row r="333" spans="1:6" x14ac:dyDescent="0.25">
      <c r="A333" s="118"/>
      <c r="B333" s="118"/>
      <c r="C333" s="118"/>
      <c r="D333" s="118"/>
      <c r="E333" s="122"/>
      <c r="F333" s="118"/>
    </row>
    <row r="334" spans="1:6" x14ac:dyDescent="0.25">
      <c r="A334" s="118"/>
      <c r="B334" s="118"/>
      <c r="C334" s="118"/>
      <c r="D334" s="118"/>
      <c r="E334" s="122"/>
      <c r="F334" s="118"/>
    </row>
    <row r="335" spans="1:6" x14ac:dyDescent="0.25">
      <c r="A335" s="118"/>
      <c r="B335" s="118"/>
      <c r="C335" s="118"/>
      <c r="D335" s="118"/>
      <c r="E335" s="122"/>
      <c r="F335" s="118"/>
    </row>
    <row r="336" spans="1:6" x14ac:dyDescent="0.25">
      <c r="A336" s="118"/>
      <c r="B336" s="118"/>
      <c r="C336" s="118"/>
      <c r="D336" s="118"/>
      <c r="E336" s="122"/>
      <c r="F336" s="118"/>
    </row>
    <row r="337" spans="1:6" x14ac:dyDescent="0.25">
      <c r="A337" s="118"/>
      <c r="B337" s="118"/>
      <c r="C337" s="118"/>
      <c r="D337" s="118"/>
      <c r="E337" s="122"/>
      <c r="F337" s="118"/>
    </row>
    <row r="338" spans="1:6" x14ac:dyDescent="0.25">
      <c r="A338" s="118"/>
      <c r="B338" s="118"/>
      <c r="C338" s="118"/>
      <c r="D338" s="118"/>
      <c r="E338" s="122"/>
      <c r="F338" s="118"/>
    </row>
    <row r="339" spans="1:6" x14ac:dyDescent="0.25">
      <c r="A339" s="118"/>
      <c r="B339" s="118"/>
      <c r="C339" s="118"/>
      <c r="D339" s="118"/>
      <c r="E339" s="122"/>
      <c r="F339" s="118"/>
    </row>
    <row r="340" spans="1:6" x14ac:dyDescent="0.25">
      <c r="A340" s="118"/>
      <c r="B340" s="118"/>
      <c r="C340" s="118"/>
      <c r="D340" s="118"/>
      <c r="E340" s="122"/>
      <c r="F340" s="118"/>
    </row>
    <row r="341" spans="1:6" x14ac:dyDescent="0.25">
      <c r="A341" s="118"/>
      <c r="B341" s="118"/>
      <c r="C341" s="118"/>
      <c r="D341" s="118"/>
      <c r="E341" s="122"/>
      <c r="F341" s="118"/>
    </row>
    <row r="342" spans="1:6" x14ac:dyDescent="0.25">
      <c r="A342" s="118"/>
      <c r="B342" s="118"/>
      <c r="C342" s="118"/>
      <c r="D342" s="118"/>
      <c r="E342" s="122"/>
      <c r="F342" s="118"/>
    </row>
    <row r="343" spans="1:6" x14ac:dyDescent="0.25">
      <c r="A343" s="118"/>
      <c r="B343" s="118"/>
      <c r="C343" s="118"/>
      <c r="D343" s="118"/>
      <c r="E343" s="122"/>
      <c r="F343" s="118"/>
    </row>
    <row r="344" spans="1:6" x14ac:dyDescent="0.25">
      <c r="A344" s="118"/>
      <c r="B344" s="118"/>
      <c r="C344" s="118"/>
      <c r="D344" s="118"/>
      <c r="E344" s="122"/>
      <c r="F344" s="118"/>
    </row>
    <row r="345" spans="1:6" x14ac:dyDescent="0.25">
      <c r="A345" s="118"/>
      <c r="B345" s="118"/>
      <c r="C345" s="118"/>
      <c r="D345" s="118"/>
      <c r="E345" s="122"/>
      <c r="F345" s="118"/>
    </row>
    <row r="346" spans="1:6" x14ac:dyDescent="0.25">
      <c r="A346" s="118"/>
      <c r="B346" s="118"/>
      <c r="C346" s="118"/>
      <c r="D346" s="118"/>
      <c r="E346" s="122"/>
      <c r="F346" s="118"/>
    </row>
    <row r="347" spans="1:6" x14ac:dyDescent="0.25">
      <c r="A347" s="118"/>
      <c r="B347" s="118"/>
      <c r="C347" s="118"/>
      <c r="D347" s="118"/>
      <c r="E347" s="122"/>
      <c r="F347" s="118"/>
    </row>
    <row r="348" spans="1:6" x14ac:dyDescent="0.25">
      <c r="A348" s="118"/>
      <c r="B348" s="118"/>
      <c r="C348" s="118"/>
      <c r="D348" s="118"/>
      <c r="E348" s="122"/>
      <c r="F348" s="118"/>
    </row>
    <row r="349" spans="1:6" x14ac:dyDescent="0.25">
      <c r="A349" s="118"/>
      <c r="B349" s="118"/>
      <c r="C349" s="118"/>
      <c r="D349" s="118"/>
      <c r="E349" s="122"/>
      <c r="F349" s="118"/>
    </row>
    <row r="350" spans="1:6" x14ac:dyDescent="0.25">
      <c r="A350" s="118"/>
      <c r="B350" s="118"/>
      <c r="C350" s="118"/>
      <c r="D350" s="118"/>
      <c r="E350" s="122"/>
      <c r="F350" s="118"/>
    </row>
    <row r="351" spans="1:6" x14ac:dyDescent="0.25">
      <c r="A351" s="118"/>
      <c r="B351" s="118"/>
      <c r="C351" s="118"/>
      <c r="D351" s="118"/>
      <c r="E351" s="122"/>
      <c r="F351" s="118"/>
    </row>
    <row r="352" spans="1:6" x14ac:dyDescent="0.25">
      <c r="A352" s="118"/>
      <c r="B352" s="118"/>
      <c r="C352" s="118"/>
      <c r="D352" s="118"/>
      <c r="E352" s="122"/>
      <c r="F352" s="118"/>
    </row>
    <row r="353" spans="1:6" x14ac:dyDescent="0.25">
      <c r="A353" s="118"/>
      <c r="B353" s="118"/>
      <c r="C353" s="118"/>
      <c r="D353" s="118"/>
      <c r="E353" s="122"/>
      <c r="F353" s="118"/>
    </row>
    <row r="354" spans="1:6" x14ac:dyDescent="0.25">
      <c r="A354" s="118"/>
      <c r="B354" s="118"/>
      <c r="C354" s="118"/>
      <c r="D354" s="118"/>
      <c r="E354" s="122"/>
      <c r="F354" s="118"/>
    </row>
    <row r="355" spans="1:6" x14ac:dyDescent="0.25">
      <c r="A355" s="118"/>
      <c r="B355" s="118"/>
      <c r="C355" s="118"/>
      <c r="D355" s="118"/>
      <c r="E355" s="122"/>
      <c r="F355" s="118"/>
    </row>
    <row r="356" spans="1:6" x14ac:dyDescent="0.25">
      <c r="A356" s="118"/>
      <c r="B356" s="118"/>
      <c r="C356" s="118"/>
      <c r="D356" s="118"/>
      <c r="E356" s="122"/>
      <c r="F356" s="118"/>
    </row>
    <row r="357" spans="1:6" x14ac:dyDescent="0.25">
      <c r="A357" s="118"/>
      <c r="B357" s="118"/>
      <c r="C357" s="118"/>
      <c r="D357" s="118"/>
      <c r="E357" s="122"/>
      <c r="F357" s="118"/>
    </row>
    <row r="358" spans="1:6" x14ac:dyDescent="0.25">
      <c r="A358" s="118"/>
      <c r="B358" s="118"/>
      <c r="C358" s="118"/>
      <c r="D358" s="118"/>
      <c r="E358" s="122"/>
      <c r="F358" s="118"/>
    </row>
    <row r="359" spans="1:6" x14ac:dyDescent="0.25">
      <c r="A359" s="118"/>
      <c r="B359" s="118"/>
      <c r="C359" s="118"/>
      <c r="D359" s="118"/>
      <c r="E359" s="122"/>
      <c r="F359" s="118"/>
    </row>
    <row r="360" spans="1:6" x14ac:dyDescent="0.25">
      <c r="A360" s="118"/>
      <c r="B360" s="118"/>
      <c r="C360" s="118"/>
      <c r="D360" s="118"/>
      <c r="E360" s="122"/>
      <c r="F360" s="118"/>
    </row>
    <row r="361" spans="1:6" x14ac:dyDescent="0.25">
      <c r="A361" s="118"/>
      <c r="B361" s="118"/>
      <c r="C361" s="118"/>
      <c r="D361" s="118"/>
      <c r="E361" s="122"/>
      <c r="F361" s="118"/>
    </row>
    <row r="362" spans="1:6" x14ac:dyDescent="0.25">
      <c r="A362" s="118"/>
      <c r="B362" s="118"/>
      <c r="C362" s="118"/>
      <c r="D362" s="118"/>
      <c r="E362" s="122"/>
      <c r="F362" s="118"/>
    </row>
    <row r="363" spans="1:6" x14ac:dyDescent="0.25">
      <c r="A363" s="118"/>
      <c r="B363" s="118"/>
      <c r="C363" s="118"/>
      <c r="D363" s="118"/>
      <c r="E363" s="122"/>
      <c r="F363" s="118"/>
    </row>
    <row r="364" spans="1:6" x14ac:dyDescent="0.25">
      <c r="A364" s="118"/>
      <c r="B364" s="118"/>
      <c r="C364" s="118"/>
      <c r="D364" s="118"/>
      <c r="E364" s="122"/>
      <c r="F364" s="118"/>
    </row>
    <row r="365" spans="1:6" x14ac:dyDescent="0.25">
      <c r="A365" s="118"/>
      <c r="B365" s="118"/>
      <c r="C365" s="118"/>
      <c r="D365" s="118"/>
      <c r="E365" s="122"/>
      <c r="F365" s="118"/>
    </row>
    <row r="366" spans="1:6" x14ac:dyDescent="0.25">
      <c r="A366" s="118"/>
      <c r="B366" s="118"/>
      <c r="C366" s="118"/>
      <c r="D366" s="118"/>
      <c r="E366" s="122"/>
      <c r="F366" s="118"/>
    </row>
    <row r="367" spans="1:6" x14ac:dyDescent="0.25">
      <c r="A367" s="118"/>
      <c r="B367" s="118"/>
      <c r="C367" s="118"/>
      <c r="D367" s="118"/>
      <c r="E367" s="122"/>
      <c r="F367" s="118"/>
    </row>
    <row r="368" spans="1:6" x14ac:dyDescent="0.25">
      <c r="A368" s="118"/>
      <c r="B368" s="118"/>
      <c r="C368" s="118"/>
      <c r="D368" s="118"/>
      <c r="E368" s="122"/>
      <c r="F368" s="118"/>
    </row>
    <row r="369" spans="1:6" x14ac:dyDescent="0.25">
      <c r="A369" s="118"/>
      <c r="B369" s="118"/>
      <c r="C369" s="118"/>
      <c r="D369" s="118"/>
      <c r="E369" s="122"/>
      <c r="F369" s="118"/>
    </row>
    <row r="370" spans="1:6" x14ac:dyDescent="0.25">
      <c r="A370" s="118"/>
      <c r="B370" s="118"/>
      <c r="C370" s="118"/>
      <c r="D370" s="118"/>
      <c r="E370" s="122"/>
      <c r="F370" s="118"/>
    </row>
    <row r="371" spans="1:6" x14ac:dyDescent="0.25">
      <c r="A371" s="118"/>
      <c r="B371" s="118"/>
      <c r="C371" s="118"/>
      <c r="D371" s="118"/>
      <c r="E371" s="122"/>
      <c r="F371" s="118"/>
    </row>
    <row r="372" spans="1:6" x14ac:dyDescent="0.25">
      <c r="A372" s="118"/>
      <c r="B372" s="118"/>
      <c r="C372" s="118"/>
      <c r="D372" s="118"/>
      <c r="E372" s="122"/>
      <c r="F372" s="118"/>
    </row>
    <row r="373" spans="1:6" x14ac:dyDescent="0.25">
      <c r="A373" s="118"/>
      <c r="B373" s="118"/>
      <c r="C373" s="118"/>
      <c r="D373" s="118"/>
      <c r="E373" s="122"/>
      <c r="F373" s="118"/>
    </row>
    <row r="374" spans="1:6" x14ac:dyDescent="0.25">
      <c r="A374" s="118"/>
      <c r="B374" s="118"/>
      <c r="C374" s="118"/>
      <c r="D374" s="118"/>
      <c r="E374" s="122"/>
      <c r="F374" s="118"/>
    </row>
    <row r="375" spans="1:6" x14ac:dyDescent="0.25">
      <c r="A375" s="118"/>
      <c r="B375" s="118"/>
      <c r="C375" s="118"/>
      <c r="D375" s="118"/>
      <c r="E375" s="122"/>
      <c r="F375" s="118"/>
    </row>
    <row r="376" spans="1:6" x14ac:dyDescent="0.25">
      <c r="A376" s="118"/>
      <c r="B376" s="118"/>
      <c r="C376" s="118"/>
      <c r="D376" s="118"/>
      <c r="E376" s="122"/>
      <c r="F376" s="118"/>
    </row>
    <row r="377" spans="1:6" x14ac:dyDescent="0.25">
      <c r="A377" s="118"/>
      <c r="B377" s="118"/>
      <c r="C377" s="118"/>
      <c r="D377" s="118"/>
      <c r="E377" s="122"/>
      <c r="F377" s="118"/>
    </row>
    <row r="378" spans="1:6" x14ac:dyDescent="0.25">
      <c r="A378" s="118"/>
      <c r="B378" s="118"/>
      <c r="C378" s="118"/>
      <c r="D378" s="118"/>
      <c r="E378" s="122"/>
      <c r="F378" s="118"/>
    </row>
    <row r="379" spans="1:6" x14ac:dyDescent="0.25">
      <c r="A379" s="118"/>
      <c r="B379" s="118"/>
      <c r="C379" s="118"/>
      <c r="D379" s="118"/>
      <c r="E379" s="122"/>
      <c r="F379" s="118"/>
    </row>
    <row r="380" spans="1:6" x14ac:dyDescent="0.25">
      <c r="A380" s="118"/>
      <c r="B380" s="118"/>
      <c r="C380" s="118"/>
      <c r="D380" s="118"/>
      <c r="E380" s="122"/>
      <c r="F380" s="118"/>
    </row>
    <row r="381" spans="1:6" x14ac:dyDescent="0.25">
      <c r="A381" s="118"/>
      <c r="B381" s="118"/>
      <c r="C381" s="118"/>
      <c r="D381" s="118"/>
      <c r="E381" s="122"/>
      <c r="F381" s="118"/>
    </row>
    <row r="382" spans="1:6" x14ac:dyDescent="0.25">
      <c r="A382" s="118"/>
      <c r="B382" s="118"/>
      <c r="C382" s="118"/>
      <c r="D382" s="118"/>
      <c r="E382" s="122"/>
      <c r="F382" s="118"/>
    </row>
    <row r="383" spans="1:6" x14ac:dyDescent="0.25">
      <c r="A383" s="118"/>
      <c r="B383" s="118"/>
      <c r="C383" s="118"/>
      <c r="D383" s="118"/>
      <c r="E383" s="122"/>
      <c r="F383" s="118"/>
    </row>
    <row r="384" spans="1:6" x14ac:dyDescent="0.25">
      <c r="A384" s="118"/>
      <c r="B384" s="118"/>
      <c r="C384" s="118"/>
      <c r="D384" s="118"/>
      <c r="E384" s="122"/>
      <c r="F384" s="118"/>
    </row>
    <row r="385" spans="1:6" x14ac:dyDescent="0.25">
      <c r="A385" s="118"/>
      <c r="B385" s="118"/>
      <c r="C385" s="118"/>
      <c r="D385" s="118"/>
      <c r="E385" s="122"/>
      <c r="F385" s="118"/>
    </row>
    <row r="386" spans="1:6" x14ac:dyDescent="0.25">
      <c r="A386" s="118"/>
      <c r="B386" s="118"/>
      <c r="C386" s="118"/>
      <c r="D386" s="118"/>
      <c r="E386" s="122"/>
      <c r="F386" s="118"/>
    </row>
    <row r="387" spans="1:6" x14ac:dyDescent="0.25">
      <c r="A387" s="118"/>
      <c r="B387" s="118"/>
      <c r="C387" s="118"/>
      <c r="D387" s="118"/>
      <c r="E387" s="122"/>
      <c r="F387" s="118"/>
    </row>
    <row r="388" spans="1:6" x14ac:dyDescent="0.25">
      <c r="A388" s="118"/>
      <c r="B388" s="118"/>
      <c r="C388" s="118"/>
      <c r="D388" s="118"/>
      <c r="E388" s="122"/>
      <c r="F388" s="118"/>
    </row>
    <row r="389" spans="1:6" x14ac:dyDescent="0.25">
      <c r="A389" s="118"/>
      <c r="B389" s="118"/>
      <c r="C389" s="118"/>
      <c r="D389" s="118"/>
      <c r="E389" s="122"/>
      <c r="F389" s="118"/>
    </row>
    <row r="390" spans="1:6" x14ac:dyDescent="0.25">
      <c r="A390" s="118"/>
      <c r="B390" s="118"/>
      <c r="C390" s="118"/>
      <c r="D390" s="118"/>
      <c r="E390" s="122"/>
      <c r="F390" s="118"/>
    </row>
    <row r="391" spans="1:6" x14ac:dyDescent="0.25">
      <c r="A391" s="118"/>
      <c r="B391" s="118"/>
      <c r="C391" s="118"/>
      <c r="D391" s="118"/>
      <c r="E391" s="122"/>
      <c r="F391" s="118"/>
    </row>
    <row r="392" spans="1:6" x14ac:dyDescent="0.25">
      <c r="A392" s="118"/>
      <c r="B392" s="118"/>
      <c r="C392" s="118"/>
      <c r="D392" s="118"/>
      <c r="E392" s="122"/>
      <c r="F392" s="118"/>
    </row>
    <row r="393" spans="1:6" x14ac:dyDescent="0.25">
      <c r="A393" s="118"/>
      <c r="B393" s="118"/>
      <c r="C393" s="118"/>
      <c r="D393" s="118"/>
      <c r="E393" s="122"/>
      <c r="F393" s="118"/>
    </row>
    <row r="394" spans="1:6" x14ac:dyDescent="0.25">
      <c r="A394" s="118"/>
      <c r="B394" s="118"/>
      <c r="C394" s="118"/>
      <c r="D394" s="118"/>
      <c r="E394" s="122"/>
      <c r="F394" s="118"/>
    </row>
    <row r="395" spans="1:6" x14ac:dyDescent="0.25">
      <c r="A395" s="118"/>
      <c r="B395" s="118"/>
      <c r="C395" s="118"/>
      <c r="D395" s="118"/>
      <c r="E395" s="122"/>
      <c r="F395" s="118"/>
    </row>
    <row r="396" spans="1:6" x14ac:dyDescent="0.25">
      <c r="A396" s="118"/>
      <c r="B396" s="118"/>
      <c r="C396" s="118"/>
      <c r="D396" s="118"/>
      <c r="E396" s="122"/>
      <c r="F396" s="118"/>
    </row>
    <row r="397" spans="1:6" x14ac:dyDescent="0.25">
      <c r="A397" s="118"/>
      <c r="B397" s="118"/>
      <c r="C397" s="118"/>
      <c r="D397" s="118"/>
      <c r="E397" s="122"/>
      <c r="F397" s="118"/>
    </row>
    <row r="398" spans="1:6" x14ac:dyDescent="0.25">
      <c r="A398" s="118"/>
      <c r="B398" s="118"/>
      <c r="C398" s="118"/>
      <c r="D398" s="118"/>
      <c r="E398" s="122"/>
      <c r="F398" s="118"/>
    </row>
    <row r="399" spans="1:6" x14ac:dyDescent="0.25">
      <c r="A399" s="118"/>
      <c r="B399" s="118"/>
      <c r="C399" s="118"/>
      <c r="D399" s="118"/>
      <c r="E399" s="122"/>
      <c r="F399" s="118"/>
    </row>
    <row r="400" spans="1:6" x14ac:dyDescent="0.25">
      <c r="A400" s="118"/>
      <c r="B400" s="118"/>
      <c r="C400" s="118"/>
      <c r="D400" s="118"/>
      <c r="E400" s="122"/>
      <c r="F400" s="118"/>
    </row>
    <row r="401" spans="1:6" x14ac:dyDescent="0.25">
      <c r="A401" s="118"/>
      <c r="B401" s="118"/>
      <c r="C401" s="118"/>
      <c r="D401" s="118"/>
      <c r="E401" s="122"/>
      <c r="F401" s="118"/>
    </row>
    <row r="402" spans="1:6" x14ac:dyDescent="0.25">
      <c r="A402" s="118"/>
      <c r="B402" s="118"/>
      <c r="C402" s="118"/>
      <c r="D402" s="118"/>
      <c r="E402" s="122"/>
      <c r="F402" s="118"/>
    </row>
    <row r="403" spans="1:6" x14ac:dyDescent="0.25">
      <c r="A403" s="118"/>
      <c r="B403" s="118"/>
      <c r="C403" s="118"/>
      <c r="D403" s="118"/>
      <c r="E403" s="122"/>
      <c r="F403" s="118"/>
    </row>
    <row r="404" spans="1:6" x14ac:dyDescent="0.25">
      <c r="A404" s="118"/>
      <c r="B404" s="118"/>
      <c r="C404" s="118"/>
      <c r="D404" s="118"/>
      <c r="E404" s="122"/>
      <c r="F404" s="118"/>
    </row>
    <row r="405" spans="1:6" x14ac:dyDescent="0.25">
      <c r="A405" s="118"/>
      <c r="B405" s="118"/>
      <c r="C405" s="118"/>
      <c r="D405" s="118"/>
      <c r="E405" s="122"/>
      <c r="F405" s="118"/>
    </row>
    <row r="406" spans="1:6" x14ac:dyDescent="0.25">
      <c r="A406" s="118"/>
      <c r="B406" s="118"/>
      <c r="C406" s="118"/>
      <c r="D406" s="118"/>
      <c r="E406" s="122"/>
      <c r="F406" s="118"/>
    </row>
    <row r="407" spans="1:6" x14ac:dyDescent="0.25">
      <c r="A407" s="118"/>
      <c r="B407" s="118"/>
      <c r="C407" s="118"/>
      <c r="D407" s="118"/>
      <c r="E407" s="122"/>
      <c r="F407" s="118"/>
    </row>
    <row r="408" spans="1:6" x14ac:dyDescent="0.25">
      <c r="A408" s="118"/>
      <c r="B408" s="118"/>
      <c r="C408" s="118"/>
      <c r="D408" s="118"/>
      <c r="E408" s="122"/>
      <c r="F408" s="118"/>
    </row>
    <row r="409" spans="1:6" x14ac:dyDescent="0.25">
      <c r="A409" s="118"/>
      <c r="B409" s="118"/>
      <c r="C409" s="118"/>
      <c r="D409" s="118"/>
      <c r="E409" s="122"/>
      <c r="F409" s="118"/>
    </row>
    <row r="410" spans="1:6" x14ac:dyDescent="0.25">
      <c r="A410" s="118"/>
      <c r="B410" s="118"/>
      <c r="C410" s="118"/>
      <c r="D410" s="118"/>
      <c r="E410" s="122"/>
      <c r="F410" s="118"/>
    </row>
    <row r="411" spans="1:6" x14ac:dyDescent="0.25">
      <c r="A411" s="118"/>
      <c r="B411" s="118"/>
      <c r="C411" s="118"/>
      <c r="D411" s="118"/>
      <c r="E411" s="122"/>
      <c r="F411" s="118"/>
    </row>
    <row r="412" spans="1:6" x14ac:dyDescent="0.25">
      <c r="A412" s="118"/>
      <c r="B412" s="118"/>
      <c r="C412" s="118"/>
      <c r="D412" s="118"/>
      <c r="E412" s="122"/>
      <c r="F412" s="118"/>
    </row>
    <row r="413" spans="1:6" x14ac:dyDescent="0.25">
      <c r="A413" s="118"/>
      <c r="B413" s="118"/>
      <c r="C413" s="118"/>
      <c r="D413" s="118"/>
      <c r="E413" s="122"/>
      <c r="F413" s="118"/>
    </row>
    <row r="414" spans="1:6" x14ac:dyDescent="0.25">
      <c r="A414" s="118"/>
      <c r="B414" s="118"/>
      <c r="C414" s="118"/>
      <c r="D414" s="118"/>
      <c r="E414" s="122"/>
      <c r="F414" s="118"/>
    </row>
    <row r="415" spans="1:6" x14ac:dyDescent="0.25">
      <c r="A415" s="118"/>
      <c r="B415" s="118"/>
      <c r="C415" s="118"/>
      <c r="D415" s="118"/>
      <c r="E415" s="122"/>
      <c r="F415" s="118"/>
    </row>
    <row r="416" spans="1:6" x14ac:dyDescent="0.25">
      <c r="A416" s="118"/>
      <c r="B416" s="118"/>
      <c r="C416" s="118"/>
      <c r="D416" s="118"/>
      <c r="E416" s="122"/>
      <c r="F416" s="118"/>
    </row>
    <row r="417" spans="1:6" x14ac:dyDescent="0.25">
      <c r="A417" s="118"/>
      <c r="B417" s="118"/>
      <c r="C417" s="118"/>
      <c r="D417" s="118"/>
      <c r="E417" s="122"/>
      <c r="F417" s="118"/>
    </row>
    <row r="418" spans="1:6" x14ac:dyDescent="0.25">
      <c r="A418" s="118"/>
      <c r="B418" s="118"/>
      <c r="C418" s="118"/>
      <c r="D418" s="118"/>
      <c r="E418" s="122"/>
      <c r="F418" s="118"/>
    </row>
    <row r="419" spans="1:6" x14ac:dyDescent="0.25">
      <c r="A419" s="118"/>
      <c r="B419" s="118"/>
      <c r="C419" s="118"/>
      <c r="D419" s="118"/>
      <c r="E419" s="122"/>
      <c r="F419" s="118"/>
    </row>
    <row r="420" spans="1:6" x14ac:dyDescent="0.25">
      <c r="A420" s="118"/>
      <c r="B420" s="118"/>
      <c r="C420" s="118"/>
      <c r="D420" s="118"/>
      <c r="E420" s="122"/>
      <c r="F420" s="118"/>
    </row>
    <row r="421" spans="1:6" x14ac:dyDescent="0.25">
      <c r="A421" s="118"/>
      <c r="B421" s="118"/>
      <c r="C421" s="118"/>
      <c r="D421" s="118"/>
      <c r="E421" s="122"/>
      <c r="F421" s="118"/>
    </row>
    <row r="422" spans="1:6" x14ac:dyDescent="0.25">
      <c r="A422" s="118"/>
      <c r="B422" s="118"/>
      <c r="C422" s="118"/>
      <c r="D422" s="118"/>
      <c r="E422" s="122"/>
      <c r="F422" s="118"/>
    </row>
    <row r="423" spans="1:6" x14ac:dyDescent="0.25">
      <c r="A423" s="118"/>
      <c r="B423" s="118"/>
      <c r="C423" s="118"/>
      <c r="D423" s="118"/>
      <c r="E423" s="122"/>
      <c r="F423" s="118"/>
    </row>
    <row r="424" spans="1:6" x14ac:dyDescent="0.25">
      <c r="A424" s="118"/>
      <c r="B424" s="118"/>
      <c r="C424" s="118"/>
      <c r="D424" s="118"/>
      <c r="E424" s="122"/>
      <c r="F424" s="118"/>
    </row>
    <row r="425" spans="1:6" x14ac:dyDescent="0.25">
      <c r="A425" s="118"/>
      <c r="B425" s="118"/>
      <c r="C425" s="118"/>
      <c r="D425" s="118"/>
      <c r="E425" s="122"/>
      <c r="F425" s="118"/>
    </row>
    <row r="426" spans="1:6" x14ac:dyDescent="0.25">
      <c r="A426" s="118"/>
      <c r="B426" s="118"/>
      <c r="C426" s="118"/>
      <c r="D426" s="118"/>
      <c r="E426" s="122"/>
      <c r="F426" s="118"/>
    </row>
    <row r="427" spans="1:6" x14ac:dyDescent="0.25">
      <c r="A427" s="118"/>
      <c r="B427" s="118"/>
      <c r="C427" s="118"/>
      <c r="D427" s="118"/>
      <c r="E427" s="122"/>
      <c r="F427" s="118"/>
    </row>
    <row r="428" spans="1:6" x14ac:dyDescent="0.25">
      <c r="A428" s="118"/>
      <c r="B428" s="118"/>
      <c r="C428" s="118"/>
      <c r="D428" s="118"/>
      <c r="E428" s="122"/>
      <c r="F428" s="118"/>
    </row>
    <row r="429" spans="1:6" x14ac:dyDescent="0.25">
      <c r="A429" s="118"/>
      <c r="B429" s="118"/>
      <c r="C429" s="118"/>
      <c r="D429" s="118"/>
      <c r="E429" s="122"/>
      <c r="F429" s="118"/>
    </row>
    <row r="430" spans="1:6" x14ac:dyDescent="0.25">
      <c r="A430" s="118"/>
      <c r="B430" s="118"/>
      <c r="C430" s="118"/>
      <c r="D430" s="118"/>
      <c r="E430" s="122"/>
      <c r="F430" s="118"/>
    </row>
    <row r="431" spans="1:6" x14ac:dyDescent="0.25">
      <c r="A431" s="118"/>
      <c r="B431" s="118"/>
      <c r="C431" s="118"/>
      <c r="D431" s="118"/>
      <c r="E431" s="122"/>
      <c r="F431" s="118"/>
    </row>
    <row r="432" spans="1:6" x14ac:dyDescent="0.25">
      <c r="A432" s="118"/>
      <c r="B432" s="118"/>
      <c r="C432" s="118"/>
      <c r="D432" s="118"/>
      <c r="E432" s="122"/>
      <c r="F432" s="118"/>
    </row>
    <row r="433" spans="1:6" x14ac:dyDescent="0.25">
      <c r="A433" s="118"/>
      <c r="B433" s="118"/>
      <c r="C433" s="118"/>
      <c r="D433" s="118"/>
      <c r="E433" s="122"/>
      <c r="F433" s="118"/>
    </row>
    <row r="434" spans="1:6" x14ac:dyDescent="0.25">
      <c r="A434" s="118"/>
      <c r="B434" s="118"/>
      <c r="C434" s="118"/>
      <c r="D434" s="118"/>
      <c r="E434" s="122"/>
      <c r="F434" s="118"/>
    </row>
    <row r="435" spans="1:6" x14ac:dyDescent="0.25">
      <c r="A435" s="118"/>
      <c r="B435" s="118"/>
      <c r="C435" s="118"/>
      <c r="D435" s="118"/>
      <c r="E435" s="122"/>
      <c r="F435" s="118"/>
    </row>
    <row r="436" spans="1:6" x14ac:dyDescent="0.25">
      <c r="A436" s="118"/>
      <c r="B436" s="118"/>
      <c r="C436" s="118"/>
      <c r="D436" s="118"/>
      <c r="E436" s="122"/>
      <c r="F436" s="118"/>
    </row>
    <row r="437" spans="1:6" x14ac:dyDescent="0.25">
      <c r="A437" s="118"/>
      <c r="B437" s="118"/>
      <c r="C437" s="118"/>
      <c r="D437" s="118"/>
      <c r="E437" s="122"/>
      <c r="F437" s="118"/>
    </row>
    <row r="438" spans="1:6" x14ac:dyDescent="0.25">
      <c r="A438" s="118"/>
      <c r="B438" s="118"/>
      <c r="C438" s="118"/>
      <c r="D438" s="118"/>
      <c r="E438" s="122"/>
      <c r="F438" s="118"/>
    </row>
    <row r="439" spans="1:6" x14ac:dyDescent="0.25">
      <c r="A439" s="118"/>
      <c r="B439" s="118"/>
      <c r="C439" s="118"/>
      <c r="D439" s="118"/>
      <c r="E439" s="122"/>
      <c r="F439" s="118"/>
    </row>
    <row r="440" spans="1:6" x14ac:dyDescent="0.25">
      <c r="A440" s="118"/>
      <c r="B440" s="118"/>
      <c r="C440" s="118"/>
      <c r="D440" s="118"/>
      <c r="E440" s="122"/>
      <c r="F440" s="118"/>
    </row>
    <row r="441" spans="1:6" x14ac:dyDescent="0.25">
      <c r="A441" s="118"/>
      <c r="B441" s="118"/>
      <c r="C441" s="118"/>
      <c r="D441" s="118"/>
      <c r="E441" s="122"/>
      <c r="F441" s="118"/>
    </row>
    <row r="442" spans="1:6" x14ac:dyDescent="0.25">
      <c r="A442" s="118"/>
      <c r="B442" s="118"/>
      <c r="C442" s="118"/>
      <c r="D442" s="118"/>
      <c r="E442" s="122"/>
      <c r="F442" s="118"/>
    </row>
    <row r="443" spans="1:6" x14ac:dyDescent="0.25">
      <c r="A443" s="118"/>
      <c r="B443" s="118"/>
      <c r="C443" s="118"/>
      <c r="D443" s="118"/>
      <c r="E443" s="122"/>
      <c r="F443" s="118"/>
    </row>
    <row r="444" spans="1:6" x14ac:dyDescent="0.25">
      <c r="A444" s="118"/>
      <c r="B444" s="118"/>
      <c r="C444" s="118"/>
      <c r="D444" s="118"/>
      <c r="E444" s="122"/>
      <c r="F444" s="118"/>
    </row>
    <row r="445" spans="1:6" x14ac:dyDescent="0.25">
      <c r="A445" s="118"/>
      <c r="B445" s="118"/>
      <c r="C445" s="118"/>
      <c r="D445" s="118"/>
      <c r="E445" s="122"/>
      <c r="F445" s="118"/>
    </row>
    <row r="446" spans="1:6" x14ac:dyDescent="0.25">
      <c r="A446" s="118"/>
      <c r="B446" s="118"/>
      <c r="C446" s="118"/>
      <c r="D446" s="118"/>
      <c r="E446" s="122"/>
      <c r="F446" s="118"/>
    </row>
    <row r="447" spans="1:6" x14ac:dyDescent="0.25">
      <c r="A447" s="118"/>
      <c r="B447" s="118"/>
      <c r="C447" s="118"/>
      <c r="D447" s="118"/>
      <c r="E447" s="122"/>
      <c r="F447" s="118"/>
    </row>
    <row r="448" spans="1:6" x14ac:dyDescent="0.25">
      <c r="A448" s="118"/>
      <c r="B448" s="118"/>
      <c r="C448" s="118"/>
      <c r="D448" s="118"/>
      <c r="E448" s="122"/>
      <c r="F448" s="118"/>
    </row>
    <row r="449" spans="1:6" x14ac:dyDescent="0.25">
      <c r="A449" s="118"/>
      <c r="B449" s="118"/>
      <c r="C449" s="118"/>
      <c r="D449" s="118"/>
      <c r="E449" s="122"/>
      <c r="F449" s="118"/>
    </row>
    <row r="450" spans="1:6" x14ac:dyDescent="0.25">
      <c r="A450" s="118"/>
      <c r="B450" s="118"/>
      <c r="C450" s="118"/>
      <c r="D450" s="118"/>
      <c r="E450" s="122"/>
      <c r="F450" s="118"/>
    </row>
    <row r="451" spans="1:6" x14ac:dyDescent="0.25">
      <c r="A451" s="118"/>
      <c r="B451" s="118"/>
      <c r="C451" s="118"/>
      <c r="D451" s="118"/>
      <c r="E451" s="122"/>
      <c r="F451" s="118"/>
    </row>
    <row r="452" spans="1:6" x14ac:dyDescent="0.25">
      <c r="A452" s="118"/>
      <c r="B452" s="118"/>
      <c r="C452" s="118"/>
      <c r="D452" s="118"/>
      <c r="E452" s="122"/>
      <c r="F452" s="118"/>
    </row>
    <row r="453" spans="1:6" x14ac:dyDescent="0.25">
      <c r="A453" s="118"/>
      <c r="B453" s="118"/>
      <c r="C453" s="118"/>
      <c r="D453" s="118"/>
      <c r="E453" s="122"/>
      <c r="F453" s="118"/>
    </row>
    <row r="454" spans="1:6" x14ac:dyDescent="0.25">
      <c r="A454" s="118"/>
      <c r="B454" s="118"/>
      <c r="C454" s="118"/>
      <c r="D454" s="118"/>
      <c r="E454" s="122"/>
      <c r="F454" s="118"/>
    </row>
    <row r="455" spans="1:6" x14ac:dyDescent="0.25">
      <c r="A455" s="118"/>
      <c r="B455" s="118"/>
      <c r="C455" s="118"/>
      <c r="D455" s="118"/>
      <c r="E455" s="122"/>
      <c r="F455" s="118"/>
    </row>
    <row r="456" spans="1:6" x14ac:dyDescent="0.25">
      <c r="A456" s="118"/>
      <c r="B456" s="118"/>
      <c r="C456" s="118"/>
      <c r="D456" s="118"/>
      <c r="E456" s="122"/>
      <c r="F456" s="118"/>
    </row>
    <row r="457" spans="1:6" x14ac:dyDescent="0.25">
      <c r="A457" s="118"/>
      <c r="B457" s="118"/>
      <c r="C457" s="118"/>
      <c r="D457" s="118"/>
      <c r="E457" s="122"/>
      <c r="F457" s="118"/>
    </row>
    <row r="458" spans="1:6" x14ac:dyDescent="0.25">
      <c r="A458" s="118"/>
      <c r="B458" s="118"/>
      <c r="C458" s="118"/>
      <c r="D458" s="118"/>
      <c r="E458" s="122"/>
      <c r="F458" s="118"/>
    </row>
    <row r="459" spans="1:6" x14ac:dyDescent="0.25">
      <c r="A459" s="118"/>
      <c r="B459" s="118"/>
      <c r="C459" s="118"/>
      <c r="D459" s="118"/>
      <c r="E459" s="122"/>
      <c r="F459" s="118"/>
    </row>
    <row r="460" spans="1:6" x14ac:dyDescent="0.25">
      <c r="A460" s="118"/>
      <c r="B460" s="118"/>
      <c r="C460" s="118"/>
      <c r="D460" s="118"/>
      <c r="E460" s="122"/>
      <c r="F460" s="118"/>
    </row>
    <row r="461" spans="1:6" x14ac:dyDescent="0.25">
      <c r="A461" s="118"/>
      <c r="B461" s="118"/>
      <c r="C461" s="118"/>
      <c r="D461" s="118"/>
      <c r="E461" s="122"/>
      <c r="F461" s="118"/>
    </row>
    <row r="462" spans="1:6" x14ac:dyDescent="0.25">
      <c r="A462" s="118"/>
      <c r="B462" s="118"/>
      <c r="C462" s="118"/>
      <c r="D462" s="118"/>
      <c r="E462" s="122"/>
      <c r="F462" s="118"/>
    </row>
    <row r="463" spans="1:6" x14ac:dyDescent="0.25">
      <c r="A463" s="118"/>
      <c r="B463" s="118"/>
      <c r="C463" s="118"/>
      <c r="D463" s="118"/>
      <c r="E463" s="122"/>
      <c r="F463" s="118"/>
    </row>
    <row r="464" spans="1:6" x14ac:dyDescent="0.25">
      <c r="A464" s="118"/>
      <c r="B464" s="118"/>
      <c r="C464" s="118"/>
      <c r="D464" s="118"/>
      <c r="E464" s="122"/>
      <c r="F464" s="118"/>
    </row>
    <row r="465" spans="1:6" x14ac:dyDescent="0.25">
      <c r="A465" s="118"/>
      <c r="B465" s="118"/>
      <c r="C465" s="118"/>
      <c r="D465" s="118"/>
      <c r="E465" s="122"/>
      <c r="F465" s="118"/>
    </row>
    <row r="466" spans="1:6" x14ac:dyDescent="0.25">
      <c r="A466" s="118"/>
      <c r="B466" s="118"/>
      <c r="C466" s="118"/>
      <c r="D466" s="118"/>
      <c r="E466" s="122"/>
      <c r="F466" s="118"/>
    </row>
    <row r="467" spans="1:6" x14ac:dyDescent="0.25">
      <c r="A467" s="118"/>
      <c r="B467" s="118"/>
      <c r="C467" s="118"/>
      <c r="D467" s="118"/>
      <c r="E467" s="122"/>
      <c r="F467" s="118"/>
    </row>
    <row r="468" spans="1:6" x14ac:dyDescent="0.25">
      <c r="A468" s="118"/>
      <c r="B468" s="118"/>
      <c r="C468" s="118"/>
      <c r="D468" s="118"/>
      <c r="E468" s="122"/>
      <c r="F468" s="118"/>
    </row>
    <row r="469" spans="1:6" x14ac:dyDescent="0.25">
      <c r="A469" s="118"/>
      <c r="B469" s="118"/>
      <c r="C469" s="118"/>
      <c r="D469" s="118"/>
      <c r="E469" s="122"/>
      <c r="F469" s="118"/>
    </row>
    <row r="470" spans="1:6" x14ac:dyDescent="0.25">
      <c r="A470" s="118"/>
      <c r="B470" s="118"/>
      <c r="C470" s="118"/>
      <c r="D470" s="118"/>
      <c r="E470" s="122"/>
      <c r="F470" s="118"/>
    </row>
    <row r="471" spans="1:6" x14ac:dyDescent="0.25">
      <c r="A471" s="118"/>
      <c r="B471" s="118"/>
      <c r="C471" s="118"/>
      <c r="D471" s="118"/>
      <c r="E471" s="122"/>
      <c r="F471" s="118"/>
    </row>
    <row r="472" spans="1:6" x14ac:dyDescent="0.25">
      <c r="A472" s="118"/>
      <c r="B472" s="118"/>
      <c r="C472" s="118"/>
      <c r="D472" s="118"/>
      <c r="E472" s="122"/>
      <c r="F472" s="118"/>
    </row>
    <row r="473" spans="1:6" x14ac:dyDescent="0.25">
      <c r="A473" s="118"/>
      <c r="B473" s="118"/>
      <c r="C473" s="118"/>
      <c r="D473" s="118"/>
      <c r="E473" s="122"/>
      <c r="F473" s="118"/>
    </row>
    <row r="474" spans="1:6" x14ac:dyDescent="0.25">
      <c r="A474" s="118"/>
      <c r="B474" s="118"/>
      <c r="C474" s="118"/>
      <c r="D474" s="118"/>
      <c r="E474" s="122"/>
      <c r="F474" s="118"/>
    </row>
    <row r="475" spans="1:6" x14ac:dyDescent="0.25">
      <c r="A475" s="118"/>
      <c r="B475" s="118"/>
      <c r="C475" s="118"/>
      <c r="D475" s="118"/>
      <c r="E475" s="122"/>
      <c r="F475" s="118"/>
    </row>
    <row r="476" spans="1:6" x14ac:dyDescent="0.25">
      <c r="A476" s="118"/>
      <c r="B476" s="118"/>
      <c r="C476" s="118"/>
      <c r="D476" s="118"/>
      <c r="E476" s="122"/>
      <c r="F476" s="118"/>
    </row>
    <row r="477" spans="1:6" x14ac:dyDescent="0.25">
      <c r="A477" s="118"/>
      <c r="B477" s="118"/>
      <c r="C477" s="118"/>
      <c r="D477" s="118"/>
      <c r="E477" s="122"/>
      <c r="F477" s="118"/>
    </row>
    <row r="478" spans="1:6" x14ac:dyDescent="0.25">
      <c r="A478" s="118"/>
      <c r="B478" s="118"/>
      <c r="C478" s="118"/>
      <c r="D478" s="118"/>
      <c r="E478" s="122"/>
      <c r="F478" s="118"/>
    </row>
    <row r="479" spans="1:6" x14ac:dyDescent="0.25">
      <c r="A479" s="118"/>
      <c r="B479" s="118"/>
      <c r="C479" s="118"/>
      <c r="D479" s="118"/>
      <c r="E479" s="122"/>
      <c r="F479" s="118"/>
    </row>
    <row r="480" spans="1:6" x14ac:dyDescent="0.25">
      <c r="A480" s="118"/>
      <c r="B480" s="118"/>
      <c r="C480" s="118"/>
      <c r="D480" s="118"/>
      <c r="E480" s="122"/>
      <c r="F480" s="118"/>
    </row>
    <row r="481" spans="1:6" x14ac:dyDescent="0.25">
      <c r="A481" s="118"/>
      <c r="B481" s="118"/>
      <c r="C481" s="118"/>
      <c r="D481" s="118"/>
      <c r="E481" s="122"/>
      <c r="F481" s="118"/>
    </row>
    <row r="482" spans="1:6" x14ac:dyDescent="0.25">
      <c r="A482" s="118"/>
      <c r="B482" s="118"/>
      <c r="C482" s="118"/>
      <c r="D482" s="118"/>
      <c r="E482" s="122"/>
      <c r="F482" s="118"/>
    </row>
    <row r="483" spans="1:6" x14ac:dyDescent="0.25">
      <c r="A483" s="118"/>
      <c r="B483" s="118"/>
      <c r="C483" s="118"/>
      <c r="D483" s="118"/>
      <c r="E483" s="122"/>
      <c r="F483" s="118"/>
    </row>
    <row r="484" spans="1:6" x14ac:dyDescent="0.25">
      <c r="A484" s="118"/>
      <c r="B484" s="118"/>
      <c r="C484" s="118"/>
      <c r="D484" s="118"/>
      <c r="E484" s="122"/>
      <c r="F484" s="118"/>
    </row>
    <row r="485" spans="1:6" x14ac:dyDescent="0.25">
      <c r="A485" s="118"/>
      <c r="B485" s="118"/>
      <c r="C485" s="118"/>
      <c r="D485" s="118"/>
      <c r="E485" s="122"/>
      <c r="F485" s="118"/>
    </row>
    <row r="486" spans="1:6" x14ac:dyDescent="0.25">
      <c r="A486" s="118"/>
      <c r="B486" s="118"/>
      <c r="C486" s="118"/>
      <c r="D486" s="118"/>
      <c r="E486" s="122"/>
      <c r="F486" s="118"/>
    </row>
    <row r="487" spans="1:6" x14ac:dyDescent="0.25">
      <c r="A487" s="118"/>
      <c r="B487" s="118"/>
      <c r="C487" s="118"/>
      <c r="D487" s="118"/>
      <c r="E487" s="122"/>
      <c r="F487" s="118"/>
    </row>
    <row r="488" spans="1:6" x14ac:dyDescent="0.25">
      <c r="A488" s="118"/>
      <c r="B488" s="118"/>
      <c r="C488" s="118"/>
      <c r="D488" s="118"/>
      <c r="E488" s="122"/>
      <c r="F488" s="118"/>
    </row>
    <row r="489" spans="1:6" x14ac:dyDescent="0.25">
      <c r="A489" s="118"/>
      <c r="B489" s="118"/>
      <c r="C489" s="118"/>
      <c r="D489" s="118"/>
      <c r="E489" s="122"/>
      <c r="F489" s="118"/>
    </row>
    <row r="490" spans="1:6" x14ac:dyDescent="0.25">
      <c r="A490" s="118"/>
      <c r="B490" s="118"/>
      <c r="C490" s="118"/>
      <c r="D490" s="118"/>
      <c r="E490" s="122"/>
      <c r="F490" s="118"/>
    </row>
    <row r="491" spans="1:6" x14ac:dyDescent="0.25">
      <c r="A491" s="118"/>
      <c r="B491" s="118"/>
      <c r="C491" s="118"/>
      <c r="D491" s="118"/>
      <c r="E491" s="122"/>
      <c r="F491" s="118"/>
    </row>
    <row r="492" spans="1:6" x14ac:dyDescent="0.25">
      <c r="A492" s="118"/>
      <c r="B492" s="118"/>
      <c r="C492" s="118"/>
      <c r="D492" s="118"/>
      <c r="E492" s="122"/>
      <c r="F492" s="118"/>
    </row>
    <row r="493" spans="1:6" x14ac:dyDescent="0.25">
      <c r="A493" s="118"/>
      <c r="B493" s="118"/>
      <c r="C493" s="118"/>
      <c r="D493" s="118"/>
      <c r="E493" s="122"/>
      <c r="F493" s="118"/>
    </row>
    <row r="494" spans="1:6" x14ac:dyDescent="0.25">
      <c r="A494" s="118"/>
      <c r="B494" s="118"/>
      <c r="C494" s="118"/>
      <c r="D494" s="118"/>
      <c r="E494" s="122"/>
      <c r="F494" s="118"/>
    </row>
    <row r="495" spans="1:6" x14ac:dyDescent="0.25">
      <c r="A495" s="118"/>
      <c r="B495" s="118"/>
      <c r="C495" s="118"/>
      <c r="D495" s="118"/>
      <c r="E495" s="122"/>
      <c r="F495" s="118"/>
    </row>
    <row r="496" spans="1:6" x14ac:dyDescent="0.25">
      <c r="A496" s="118"/>
      <c r="B496" s="118"/>
      <c r="C496" s="118"/>
      <c r="D496" s="118"/>
      <c r="E496" s="122"/>
      <c r="F496" s="118"/>
    </row>
    <row r="497" spans="1:6" x14ac:dyDescent="0.25">
      <c r="A497" s="118"/>
      <c r="B497" s="118"/>
      <c r="C497" s="118"/>
      <c r="D497" s="118"/>
      <c r="E497" s="122"/>
      <c r="F497" s="118"/>
    </row>
    <row r="498" spans="1:6" x14ac:dyDescent="0.25">
      <c r="A498" s="118"/>
      <c r="B498" s="118"/>
      <c r="C498" s="118"/>
      <c r="D498" s="118"/>
      <c r="E498" s="122"/>
      <c r="F498" s="118"/>
    </row>
    <row r="499" spans="1:6" x14ac:dyDescent="0.25">
      <c r="A499" s="118"/>
      <c r="B499" s="118"/>
      <c r="C499" s="118"/>
      <c r="D499" s="118"/>
      <c r="E499" s="122"/>
      <c r="F499" s="118"/>
    </row>
    <row r="500" spans="1:6" x14ac:dyDescent="0.25">
      <c r="A500" s="118"/>
      <c r="B500" s="118"/>
      <c r="C500" s="118"/>
      <c r="D500" s="118"/>
      <c r="E500" s="122"/>
      <c r="F500" s="118"/>
    </row>
    <row r="501" spans="1:6" x14ac:dyDescent="0.25">
      <c r="A501" s="118"/>
      <c r="B501" s="118"/>
      <c r="C501" s="118"/>
      <c r="D501" s="118"/>
      <c r="E501" s="122"/>
      <c r="F501" s="118"/>
    </row>
    <row r="502" spans="1:6" x14ac:dyDescent="0.25">
      <c r="A502" s="118"/>
      <c r="B502" s="118"/>
      <c r="C502" s="118"/>
      <c r="D502" s="118"/>
      <c r="E502" s="122"/>
      <c r="F502" s="118"/>
    </row>
    <row r="503" spans="1:6" x14ac:dyDescent="0.25">
      <c r="A503" s="118"/>
      <c r="B503" s="118"/>
      <c r="C503" s="118"/>
      <c r="D503" s="118"/>
      <c r="E503" s="122"/>
      <c r="F503" s="118"/>
    </row>
    <row r="504" spans="1:6" x14ac:dyDescent="0.25">
      <c r="A504" s="118"/>
      <c r="B504" s="118"/>
      <c r="C504" s="118"/>
      <c r="D504" s="118"/>
      <c r="E504" s="122"/>
      <c r="F504" s="118"/>
    </row>
    <row r="505" spans="1:6" x14ac:dyDescent="0.25">
      <c r="A505" s="118"/>
      <c r="B505" s="118"/>
      <c r="C505" s="118"/>
      <c r="D505" s="118"/>
      <c r="E505" s="122"/>
      <c r="F505" s="118"/>
    </row>
    <row r="506" spans="1:6" x14ac:dyDescent="0.25">
      <c r="A506" s="118"/>
      <c r="B506" s="118"/>
      <c r="C506" s="118"/>
      <c r="D506" s="118"/>
      <c r="E506" s="122"/>
      <c r="F506" s="118"/>
    </row>
    <row r="507" spans="1:6" x14ac:dyDescent="0.25">
      <c r="A507" s="118"/>
      <c r="B507" s="118"/>
      <c r="C507" s="118"/>
      <c r="D507" s="118"/>
      <c r="E507" s="122"/>
      <c r="F507" s="118"/>
    </row>
    <row r="508" spans="1:6" x14ac:dyDescent="0.25">
      <c r="A508" s="118"/>
      <c r="B508" s="118"/>
      <c r="C508" s="118"/>
      <c r="D508" s="118"/>
      <c r="E508" s="122"/>
      <c r="F508" s="118"/>
    </row>
    <row r="509" spans="1:6" x14ac:dyDescent="0.25">
      <c r="A509" s="118"/>
      <c r="B509" s="118"/>
      <c r="C509" s="118"/>
      <c r="D509" s="118"/>
      <c r="E509" s="122"/>
      <c r="F509" s="118"/>
    </row>
    <row r="510" spans="1:6" x14ac:dyDescent="0.25">
      <c r="A510" s="118"/>
      <c r="B510" s="118"/>
      <c r="C510" s="118"/>
      <c r="D510" s="118"/>
      <c r="E510" s="122"/>
      <c r="F510" s="118"/>
    </row>
    <row r="511" spans="1:6" x14ac:dyDescent="0.25">
      <c r="A511" s="118"/>
      <c r="B511" s="118"/>
      <c r="C511" s="118"/>
      <c r="D511" s="118"/>
      <c r="E511" s="122"/>
      <c r="F511" s="118"/>
    </row>
    <row r="512" spans="1:6" x14ac:dyDescent="0.25">
      <c r="A512" s="118"/>
      <c r="B512" s="118"/>
      <c r="C512" s="118"/>
      <c r="D512" s="118"/>
      <c r="E512" s="122"/>
      <c r="F512" s="118"/>
    </row>
    <row r="513" spans="1:6" x14ac:dyDescent="0.25">
      <c r="A513" s="118"/>
      <c r="B513" s="118"/>
      <c r="C513" s="118"/>
      <c r="D513" s="118"/>
      <c r="E513" s="122"/>
      <c r="F513" s="118"/>
    </row>
    <row r="514" spans="1:6" x14ac:dyDescent="0.25">
      <c r="A514" s="118"/>
      <c r="B514" s="118"/>
      <c r="C514" s="118"/>
      <c r="D514" s="118"/>
      <c r="E514" s="122"/>
      <c r="F514" s="118"/>
    </row>
    <row r="515" spans="1:6" x14ac:dyDescent="0.25">
      <c r="A515" s="118"/>
      <c r="B515" s="118"/>
      <c r="C515" s="118"/>
      <c r="D515" s="118"/>
      <c r="E515" s="122"/>
      <c r="F515" s="118"/>
    </row>
    <row r="516" spans="1:6" x14ac:dyDescent="0.25">
      <c r="A516" s="118"/>
      <c r="B516" s="118"/>
      <c r="C516" s="118"/>
      <c r="D516" s="118"/>
      <c r="E516" s="122"/>
      <c r="F516" s="118"/>
    </row>
    <row r="517" spans="1:6" x14ac:dyDescent="0.25">
      <c r="A517" s="118"/>
      <c r="B517" s="118"/>
      <c r="C517" s="118"/>
      <c r="D517" s="118"/>
      <c r="E517" s="122"/>
      <c r="F517" s="118"/>
    </row>
    <row r="518" spans="1:6" x14ac:dyDescent="0.25">
      <c r="A518" s="118"/>
      <c r="B518" s="118"/>
      <c r="C518" s="118"/>
      <c r="D518" s="118"/>
      <c r="E518" s="122"/>
      <c r="F518" s="118"/>
    </row>
    <row r="519" spans="1:6" x14ac:dyDescent="0.25">
      <c r="A519" s="118"/>
      <c r="B519" s="118"/>
      <c r="C519" s="118"/>
      <c r="D519" s="118"/>
      <c r="E519" s="122"/>
      <c r="F519" s="118"/>
    </row>
    <row r="520" spans="1:6" x14ac:dyDescent="0.25">
      <c r="A520" s="118"/>
      <c r="B520" s="118"/>
      <c r="C520" s="118"/>
      <c r="D520" s="118"/>
      <c r="E520" s="122"/>
      <c r="F520" s="118"/>
    </row>
    <row r="521" spans="1:6" x14ac:dyDescent="0.25">
      <c r="A521" s="118"/>
      <c r="B521" s="118"/>
      <c r="C521" s="118"/>
      <c r="D521" s="118"/>
      <c r="E521" s="122"/>
      <c r="F521" s="118"/>
    </row>
    <row r="522" spans="1:6" x14ac:dyDescent="0.25">
      <c r="A522" s="118"/>
      <c r="B522" s="118"/>
      <c r="C522" s="118"/>
      <c r="D522" s="118"/>
      <c r="E522" s="122"/>
      <c r="F522" s="118"/>
    </row>
    <row r="523" spans="1:6" x14ac:dyDescent="0.25">
      <c r="A523" s="118"/>
      <c r="B523" s="118"/>
      <c r="C523" s="118"/>
      <c r="D523" s="118"/>
      <c r="E523" s="122"/>
      <c r="F523" s="118"/>
    </row>
    <row r="524" spans="1:6" x14ac:dyDescent="0.25">
      <c r="A524" s="118"/>
      <c r="B524" s="118"/>
      <c r="C524" s="118"/>
      <c r="D524" s="118"/>
      <c r="E524" s="122"/>
      <c r="F524" s="118"/>
    </row>
    <row r="525" spans="1:6" x14ac:dyDescent="0.25">
      <c r="A525" s="118"/>
      <c r="B525" s="118"/>
      <c r="C525" s="118"/>
      <c r="D525" s="118"/>
      <c r="E525" s="122"/>
      <c r="F525" s="118"/>
    </row>
    <row r="526" spans="1:6" x14ac:dyDescent="0.25">
      <c r="A526" s="118"/>
      <c r="B526" s="118"/>
      <c r="C526" s="118"/>
      <c r="D526" s="118"/>
      <c r="E526" s="122"/>
      <c r="F526" s="118"/>
    </row>
    <row r="527" spans="1:6" x14ac:dyDescent="0.25">
      <c r="A527" s="118"/>
      <c r="B527" s="118"/>
      <c r="C527" s="118"/>
      <c r="D527" s="118"/>
      <c r="E527" s="122"/>
      <c r="F527" s="118"/>
    </row>
    <row r="528" spans="1:6" x14ac:dyDescent="0.25">
      <c r="A528" s="118"/>
      <c r="B528" s="118"/>
      <c r="C528" s="118"/>
      <c r="D528" s="118"/>
      <c r="E528" s="122"/>
      <c r="F528" s="118"/>
    </row>
    <row r="529" spans="1:6" x14ac:dyDescent="0.25">
      <c r="A529" s="118"/>
      <c r="B529" s="118"/>
      <c r="C529" s="118"/>
      <c r="D529" s="118"/>
      <c r="E529" s="122"/>
      <c r="F529" s="118"/>
    </row>
    <row r="530" spans="1:6" x14ac:dyDescent="0.25">
      <c r="A530" s="118"/>
      <c r="B530" s="118"/>
      <c r="C530" s="118"/>
      <c r="D530" s="118"/>
      <c r="E530" s="122"/>
      <c r="F530" s="118"/>
    </row>
    <row r="531" spans="1:6" x14ac:dyDescent="0.25">
      <c r="A531" s="118"/>
      <c r="B531" s="118"/>
      <c r="C531" s="118"/>
      <c r="D531" s="118"/>
      <c r="E531" s="122"/>
      <c r="F531" s="118"/>
    </row>
    <row r="532" spans="1:6" x14ac:dyDescent="0.25">
      <c r="A532" s="118"/>
      <c r="B532" s="118"/>
      <c r="C532" s="118"/>
      <c r="D532" s="118"/>
      <c r="E532" s="122"/>
      <c r="F532" s="118"/>
    </row>
    <row r="533" spans="1:6" x14ac:dyDescent="0.25">
      <c r="A533" s="118"/>
      <c r="B533" s="118"/>
      <c r="C533" s="118"/>
      <c r="D533" s="118"/>
      <c r="E533" s="122"/>
      <c r="F533" s="118"/>
    </row>
    <row r="534" spans="1:6" x14ac:dyDescent="0.25">
      <c r="A534" s="118"/>
      <c r="B534" s="118"/>
      <c r="C534" s="118"/>
      <c r="D534" s="118"/>
      <c r="E534" s="122"/>
      <c r="F534" s="118"/>
    </row>
    <row r="535" spans="1:6" x14ac:dyDescent="0.25">
      <c r="A535" s="118"/>
      <c r="B535" s="118"/>
      <c r="C535" s="118"/>
      <c r="D535" s="118"/>
      <c r="E535" s="122"/>
      <c r="F535" s="118"/>
    </row>
    <row r="536" spans="1:6" x14ac:dyDescent="0.25">
      <c r="A536" s="118"/>
      <c r="B536" s="118"/>
      <c r="C536" s="118"/>
      <c r="D536" s="118"/>
      <c r="E536" s="122"/>
      <c r="F536" s="118"/>
    </row>
    <row r="537" spans="1:6" x14ac:dyDescent="0.25">
      <c r="A537" s="118"/>
      <c r="B537" s="118"/>
      <c r="C537" s="118"/>
      <c r="D537" s="118"/>
      <c r="E537" s="122"/>
      <c r="F537" s="118"/>
    </row>
    <row r="538" spans="1:6" x14ac:dyDescent="0.25">
      <c r="A538" s="118"/>
      <c r="B538" s="118"/>
      <c r="C538" s="118"/>
      <c r="D538" s="118"/>
      <c r="E538" s="122"/>
      <c r="F538" s="118"/>
    </row>
    <row r="539" spans="1:6" x14ac:dyDescent="0.25">
      <c r="A539" s="118"/>
      <c r="B539" s="118"/>
      <c r="C539" s="118"/>
      <c r="D539" s="118"/>
      <c r="E539" s="122"/>
      <c r="F539" s="118"/>
    </row>
    <row r="540" spans="1:6" x14ac:dyDescent="0.25">
      <c r="A540" s="118"/>
      <c r="B540" s="118"/>
      <c r="C540" s="118"/>
      <c r="D540" s="118"/>
      <c r="E540" s="122"/>
      <c r="F540" s="118"/>
    </row>
    <row r="541" spans="1:6" x14ac:dyDescent="0.25">
      <c r="A541" s="118"/>
      <c r="B541" s="118"/>
      <c r="C541" s="118"/>
      <c r="D541" s="118"/>
      <c r="E541" s="122"/>
      <c r="F541" s="118"/>
    </row>
    <row r="542" spans="1:6" x14ac:dyDescent="0.25">
      <c r="A542" s="118"/>
      <c r="B542" s="118"/>
      <c r="C542" s="118"/>
      <c r="D542" s="118"/>
      <c r="E542" s="122"/>
      <c r="F542" s="118"/>
    </row>
    <row r="543" spans="1:6" x14ac:dyDescent="0.25">
      <c r="A543" s="118"/>
      <c r="B543" s="118"/>
      <c r="C543" s="118"/>
      <c r="D543" s="118"/>
      <c r="E543" s="122"/>
      <c r="F543" s="118"/>
    </row>
    <row r="544" spans="1:6" x14ac:dyDescent="0.25">
      <c r="A544" s="118"/>
      <c r="B544" s="118"/>
      <c r="C544" s="118"/>
      <c r="D544" s="118"/>
      <c r="E544" s="122"/>
      <c r="F544" s="118"/>
    </row>
    <row r="545" spans="1:6" x14ac:dyDescent="0.25">
      <c r="A545" s="136"/>
      <c r="B545" s="136"/>
      <c r="C545" s="136"/>
      <c r="D545" s="136"/>
      <c r="E545" s="137"/>
      <c r="F545" s="136"/>
    </row>
    <row r="546" spans="1:6" x14ac:dyDescent="0.25">
      <c r="A546" s="136"/>
      <c r="B546" s="136"/>
      <c r="C546" s="136"/>
      <c r="D546" s="136"/>
      <c r="E546" s="137"/>
      <c r="F546" s="136"/>
    </row>
    <row r="547" spans="1:6" x14ac:dyDescent="0.25">
      <c r="A547" s="136"/>
      <c r="B547" s="136"/>
      <c r="C547" s="136"/>
      <c r="D547" s="136"/>
      <c r="E547" s="137"/>
      <c r="F547" s="136"/>
    </row>
    <row r="548" spans="1:6" x14ac:dyDescent="0.25">
      <c r="A548" s="136"/>
      <c r="B548" s="136"/>
      <c r="C548" s="136"/>
      <c r="D548" s="136"/>
      <c r="E548" s="137"/>
      <c r="F548" s="136"/>
    </row>
    <row r="549" spans="1:6" x14ac:dyDescent="0.25">
      <c r="A549" s="136"/>
      <c r="B549" s="136"/>
      <c r="C549" s="136"/>
      <c r="D549" s="136"/>
      <c r="E549" s="137"/>
      <c r="F549" s="136"/>
    </row>
    <row r="550" spans="1:6" x14ac:dyDescent="0.25">
      <c r="A550" s="136"/>
      <c r="B550" s="136"/>
      <c r="C550" s="136"/>
      <c r="D550" s="136"/>
      <c r="E550" s="137"/>
      <c r="F550" s="136"/>
    </row>
    <row r="551" spans="1:6" x14ac:dyDescent="0.25">
      <c r="A551" s="136"/>
      <c r="B551" s="136"/>
      <c r="C551" s="136"/>
      <c r="D551" s="136"/>
      <c r="E551" s="137"/>
      <c r="F551" s="136"/>
    </row>
    <row r="552" spans="1:6" x14ac:dyDescent="0.25">
      <c r="A552" s="136"/>
      <c r="B552" s="136"/>
      <c r="C552" s="136"/>
      <c r="D552" s="136"/>
      <c r="E552" s="137"/>
      <c r="F552" s="136"/>
    </row>
    <row r="553" spans="1:6" x14ac:dyDescent="0.25">
      <c r="A553" s="136"/>
      <c r="B553" s="136"/>
      <c r="C553" s="136"/>
      <c r="D553" s="136"/>
      <c r="E553" s="137"/>
      <c r="F553" s="136"/>
    </row>
    <row r="554" spans="1:6" x14ac:dyDescent="0.25">
      <c r="A554" s="136"/>
      <c r="B554" s="136"/>
      <c r="C554" s="136"/>
      <c r="D554" s="136"/>
      <c r="E554" s="137"/>
      <c r="F554" s="136"/>
    </row>
    <row r="555" spans="1:6" x14ac:dyDescent="0.25">
      <c r="A555" s="136"/>
      <c r="B555" s="136"/>
      <c r="C555" s="136"/>
      <c r="D555" s="136"/>
      <c r="E555" s="137"/>
      <c r="F555" s="136"/>
    </row>
    <row r="556" spans="1:6" x14ac:dyDescent="0.25">
      <c r="A556" s="136"/>
      <c r="B556" s="136"/>
      <c r="C556" s="136"/>
      <c r="D556" s="136"/>
      <c r="E556" s="137"/>
      <c r="F556" s="136"/>
    </row>
    <row r="557" spans="1:6" x14ac:dyDescent="0.25">
      <c r="A557" s="136"/>
      <c r="B557" s="136"/>
      <c r="C557" s="136"/>
      <c r="D557" s="136"/>
      <c r="E557" s="137"/>
      <c r="F557" s="136"/>
    </row>
    <row r="558" spans="1:6" x14ac:dyDescent="0.25">
      <c r="A558" s="136"/>
      <c r="B558" s="136"/>
      <c r="C558" s="136"/>
      <c r="D558" s="136"/>
      <c r="E558" s="137"/>
      <c r="F558" s="136"/>
    </row>
    <row r="559" spans="1:6" x14ac:dyDescent="0.25">
      <c r="A559" s="136"/>
      <c r="B559" s="136"/>
      <c r="C559" s="136"/>
      <c r="D559" s="136"/>
      <c r="E559" s="137"/>
      <c r="F559" s="136"/>
    </row>
    <row r="560" spans="1:6" x14ac:dyDescent="0.25">
      <c r="A560" s="136"/>
      <c r="B560" s="136"/>
      <c r="C560" s="136"/>
      <c r="D560" s="136"/>
      <c r="E560" s="137"/>
      <c r="F560" s="136"/>
    </row>
    <row r="561" spans="1:6" x14ac:dyDescent="0.25">
      <c r="A561" s="136"/>
      <c r="B561" s="136"/>
      <c r="C561" s="136"/>
      <c r="D561" s="136"/>
      <c r="E561" s="137"/>
      <c r="F561" s="136"/>
    </row>
    <row r="562" spans="1:6" x14ac:dyDescent="0.25">
      <c r="A562" s="136"/>
      <c r="B562" s="136"/>
      <c r="C562" s="136"/>
      <c r="D562" s="136"/>
      <c r="E562" s="137"/>
      <c r="F562" s="136"/>
    </row>
    <row r="563" spans="1:6" x14ac:dyDescent="0.25">
      <c r="A563" s="136"/>
      <c r="B563" s="136"/>
      <c r="C563" s="136"/>
      <c r="D563" s="136"/>
      <c r="E563" s="137"/>
      <c r="F563" s="136"/>
    </row>
    <row r="564" spans="1:6" x14ac:dyDescent="0.25">
      <c r="A564" s="136"/>
      <c r="B564" s="136"/>
      <c r="C564" s="136"/>
      <c r="D564" s="136"/>
      <c r="E564" s="137"/>
      <c r="F564" s="136"/>
    </row>
    <row r="565" spans="1:6" x14ac:dyDescent="0.25">
      <c r="A565" s="136"/>
      <c r="B565" s="136"/>
      <c r="C565" s="136"/>
      <c r="D565" s="136"/>
      <c r="E565" s="137"/>
      <c r="F565" s="136"/>
    </row>
    <row r="566" spans="1:6" x14ac:dyDescent="0.25">
      <c r="A566" s="136"/>
      <c r="B566" s="136"/>
      <c r="C566" s="136"/>
      <c r="D566" s="136"/>
      <c r="E566" s="137"/>
      <c r="F566" s="136"/>
    </row>
    <row r="567" spans="1:6" x14ac:dyDescent="0.25">
      <c r="A567" s="136"/>
      <c r="B567" s="136"/>
      <c r="C567" s="136"/>
      <c r="D567" s="136"/>
      <c r="E567" s="137"/>
      <c r="F567" s="136"/>
    </row>
    <row r="568" spans="1:6" x14ac:dyDescent="0.25">
      <c r="A568" s="136"/>
      <c r="B568" s="136"/>
      <c r="C568" s="136"/>
      <c r="D568" s="136"/>
      <c r="E568" s="137"/>
      <c r="F568" s="136"/>
    </row>
    <row r="569" spans="1:6" x14ac:dyDescent="0.25">
      <c r="A569" s="136"/>
      <c r="B569" s="136"/>
      <c r="C569" s="136"/>
      <c r="D569" s="136"/>
      <c r="E569" s="137"/>
      <c r="F569" s="136"/>
    </row>
    <row r="570" spans="1:6" x14ac:dyDescent="0.25">
      <c r="A570" s="136"/>
      <c r="B570" s="136"/>
      <c r="C570" s="136"/>
      <c r="D570" s="136"/>
      <c r="E570" s="137"/>
      <c r="F570" s="136"/>
    </row>
    <row r="571" spans="1:6" x14ac:dyDescent="0.25">
      <c r="A571" s="136"/>
      <c r="B571" s="136"/>
      <c r="C571" s="136"/>
      <c r="D571" s="136"/>
      <c r="E571" s="137"/>
      <c r="F571" s="136"/>
    </row>
    <row r="572" spans="1:6" x14ac:dyDescent="0.25">
      <c r="A572" s="136"/>
      <c r="B572" s="136"/>
      <c r="C572" s="136"/>
      <c r="D572" s="136"/>
      <c r="E572" s="137"/>
      <c r="F572" s="136"/>
    </row>
    <row r="573" spans="1:6" x14ac:dyDescent="0.25">
      <c r="A573" s="136"/>
      <c r="B573" s="136"/>
      <c r="C573" s="136"/>
      <c r="D573" s="136"/>
      <c r="E573" s="137"/>
      <c r="F573" s="136"/>
    </row>
    <row r="574" spans="1:6" x14ac:dyDescent="0.25">
      <c r="A574" s="136"/>
      <c r="B574" s="136"/>
      <c r="C574" s="136"/>
      <c r="D574" s="136"/>
      <c r="E574" s="137"/>
      <c r="F574" s="136"/>
    </row>
    <row r="575" spans="1:6" x14ac:dyDescent="0.25">
      <c r="A575" s="136"/>
      <c r="B575" s="136"/>
      <c r="C575" s="136"/>
      <c r="D575" s="136"/>
      <c r="E575" s="137"/>
      <c r="F575" s="136"/>
    </row>
    <row r="576" spans="1:6" x14ac:dyDescent="0.25">
      <c r="A576" s="136"/>
      <c r="B576" s="136"/>
      <c r="C576" s="136"/>
      <c r="D576" s="136"/>
      <c r="E576" s="137"/>
      <c r="F576" s="136"/>
    </row>
    <row r="577" spans="1:6" x14ac:dyDescent="0.25">
      <c r="A577" s="136"/>
      <c r="B577" s="136"/>
      <c r="C577" s="136"/>
      <c r="D577" s="136"/>
      <c r="E577" s="137"/>
      <c r="F577" s="136"/>
    </row>
    <row r="578" spans="1:6" x14ac:dyDescent="0.25">
      <c r="A578" s="136"/>
      <c r="B578" s="136"/>
      <c r="C578" s="136"/>
      <c r="D578" s="136"/>
      <c r="E578" s="137"/>
      <c r="F578" s="136"/>
    </row>
    <row r="579" spans="1:6" x14ac:dyDescent="0.25">
      <c r="A579" s="136"/>
      <c r="B579" s="136"/>
      <c r="C579" s="136"/>
      <c r="D579" s="136"/>
      <c r="E579" s="137"/>
      <c r="F579" s="136"/>
    </row>
    <row r="580" spans="1:6" x14ac:dyDescent="0.25">
      <c r="A580" s="136"/>
      <c r="B580" s="136"/>
      <c r="C580" s="136"/>
      <c r="D580" s="136"/>
      <c r="E580" s="137"/>
      <c r="F580" s="136"/>
    </row>
    <row r="581" spans="1:6" x14ac:dyDescent="0.25">
      <c r="A581" s="136"/>
      <c r="B581" s="136"/>
      <c r="C581" s="136"/>
      <c r="D581" s="136"/>
      <c r="E581" s="137"/>
      <c r="F581" s="136"/>
    </row>
    <row r="582" spans="1:6" x14ac:dyDescent="0.25">
      <c r="A582" s="136"/>
      <c r="B582" s="136"/>
      <c r="C582" s="136"/>
      <c r="D582" s="136"/>
      <c r="E582" s="137"/>
      <c r="F582" s="136"/>
    </row>
    <row r="583" spans="1:6" x14ac:dyDescent="0.25">
      <c r="A583" s="136"/>
      <c r="B583" s="136"/>
      <c r="C583" s="136"/>
      <c r="D583" s="136"/>
      <c r="E583" s="137"/>
      <c r="F583" s="136"/>
    </row>
    <row r="584" spans="1:6" x14ac:dyDescent="0.25">
      <c r="A584" s="136"/>
      <c r="B584" s="136"/>
      <c r="C584" s="136"/>
      <c r="D584" s="136"/>
      <c r="E584" s="137"/>
      <c r="F584" s="136"/>
    </row>
    <row r="585" spans="1:6" x14ac:dyDescent="0.25">
      <c r="A585" s="136"/>
      <c r="B585" s="136"/>
      <c r="C585" s="136"/>
      <c r="D585" s="136"/>
      <c r="E585" s="137"/>
      <c r="F585" s="136"/>
    </row>
    <row r="586" spans="1:6" x14ac:dyDescent="0.25">
      <c r="A586" s="136"/>
      <c r="B586" s="136"/>
      <c r="C586" s="136"/>
      <c r="D586" s="136"/>
      <c r="E586" s="137"/>
      <c r="F586" s="136"/>
    </row>
    <row r="587" spans="1:6" x14ac:dyDescent="0.25">
      <c r="A587" s="136"/>
      <c r="B587" s="136"/>
      <c r="C587" s="136"/>
      <c r="D587" s="136"/>
      <c r="E587" s="137"/>
      <c r="F587" s="136"/>
    </row>
    <row r="588" spans="1:6" x14ac:dyDescent="0.25">
      <c r="A588" s="136"/>
      <c r="B588" s="136"/>
      <c r="C588" s="136"/>
      <c r="D588" s="136"/>
      <c r="E588" s="137"/>
      <c r="F588" s="136"/>
    </row>
    <row r="589" spans="1:6" x14ac:dyDescent="0.25">
      <c r="A589" s="136"/>
      <c r="B589" s="136"/>
      <c r="C589" s="136"/>
      <c r="D589" s="136"/>
      <c r="E589" s="137"/>
      <c r="F589" s="136"/>
    </row>
    <row r="590" spans="1:6" x14ac:dyDescent="0.25">
      <c r="A590" s="136"/>
      <c r="B590" s="136"/>
      <c r="C590" s="136"/>
      <c r="D590" s="136"/>
      <c r="E590" s="137"/>
      <c r="F590" s="136"/>
    </row>
    <row r="591" spans="1:6" x14ac:dyDescent="0.25">
      <c r="A591" s="136"/>
      <c r="B591" s="136"/>
      <c r="C591" s="136"/>
      <c r="D591" s="136"/>
      <c r="E591" s="137"/>
      <c r="F591" s="136"/>
    </row>
    <row r="592" spans="1:6" x14ac:dyDescent="0.25">
      <c r="A592" s="136"/>
      <c r="B592" s="136"/>
      <c r="C592" s="136"/>
      <c r="D592" s="136"/>
      <c r="E592" s="137"/>
      <c r="F592" s="136"/>
    </row>
    <row r="593" spans="1:6" x14ac:dyDescent="0.25">
      <c r="A593" s="136"/>
      <c r="B593" s="136"/>
      <c r="C593" s="136"/>
      <c r="D593" s="136"/>
      <c r="E593" s="137"/>
      <c r="F593" s="136"/>
    </row>
    <row r="594" spans="1:6" x14ac:dyDescent="0.25">
      <c r="A594" s="136"/>
      <c r="B594" s="136"/>
      <c r="C594" s="136"/>
      <c r="D594" s="136"/>
      <c r="E594" s="137"/>
      <c r="F594" s="136"/>
    </row>
    <row r="595" spans="1:6" x14ac:dyDescent="0.25">
      <c r="A595" s="136"/>
      <c r="B595" s="136"/>
      <c r="C595" s="136"/>
      <c r="D595" s="136"/>
      <c r="E595" s="137"/>
      <c r="F595" s="136"/>
    </row>
    <row r="596" spans="1:6" x14ac:dyDescent="0.25">
      <c r="A596" s="136"/>
      <c r="B596" s="136"/>
      <c r="C596" s="136"/>
      <c r="D596" s="136"/>
      <c r="E596" s="137"/>
      <c r="F596" s="136"/>
    </row>
    <row r="597" spans="1:6" x14ac:dyDescent="0.25">
      <c r="A597" s="136"/>
      <c r="B597" s="136"/>
      <c r="C597" s="136"/>
      <c r="D597" s="136"/>
      <c r="E597" s="137"/>
      <c r="F597" s="136"/>
    </row>
    <row r="598" spans="1:6" x14ac:dyDescent="0.25">
      <c r="A598" s="136"/>
      <c r="B598" s="136"/>
      <c r="C598" s="136"/>
      <c r="D598" s="136"/>
      <c r="E598" s="137"/>
      <c r="F598" s="136"/>
    </row>
    <row r="599" spans="1:6" x14ac:dyDescent="0.25">
      <c r="A599" s="136"/>
      <c r="B599" s="136"/>
      <c r="C599" s="136"/>
      <c r="D599" s="136"/>
      <c r="E599" s="137"/>
      <c r="F599" s="136"/>
    </row>
    <row r="600" spans="1:6" x14ac:dyDescent="0.25">
      <c r="A600" s="136"/>
      <c r="B600" s="136"/>
      <c r="C600" s="136"/>
      <c r="D600" s="136"/>
      <c r="E600" s="137"/>
      <c r="F600" s="136"/>
    </row>
    <row r="601" spans="1:6" x14ac:dyDescent="0.25">
      <c r="A601" s="136"/>
      <c r="B601" s="136"/>
      <c r="C601" s="136"/>
      <c r="D601" s="136"/>
      <c r="E601" s="137"/>
      <c r="F601" s="136"/>
    </row>
    <row r="602" spans="1:6" x14ac:dyDescent="0.25">
      <c r="A602" s="136"/>
      <c r="B602" s="136"/>
      <c r="C602" s="136"/>
      <c r="D602" s="136"/>
      <c r="E602" s="137"/>
      <c r="F602" s="136"/>
    </row>
    <row r="603" spans="1:6" x14ac:dyDescent="0.25">
      <c r="A603" s="136"/>
      <c r="B603" s="136"/>
      <c r="C603" s="136"/>
      <c r="D603" s="136"/>
      <c r="E603" s="137"/>
      <c r="F603" s="136"/>
    </row>
    <row r="604" spans="1:6" x14ac:dyDescent="0.25">
      <c r="A604" s="136"/>
      <c r="B604" s="136"/>
      <c r="C604" s="136"/>
      <c r="D604" s="136"/>
      <c r="E604" s="137"/>
      <c r="F604" s="136"/>
    </row>
    <row r="605" spans="1:6" x14ac:dyDescent="0.25">
      <c r="A605" s="136"/>
      <c r="B605" s="136"/>
      <c r="C605" s="136"/>
      <c r="D605" s="136"/>
      <c r="E605" s="137"/>
      <c r="F605" s="136"/>
    </row>
    <row r="606" spans="1:6" x14ac:dyDescent="0.25">
      <c r="A606" s="136"/>
      <c r="B606" s="136"/>
      <c r="C606" s="136"/>
      <c r="D606" s="136"/>
      <c r="E606" s="137"/>
      <c r="F606" s="136"/>
    </row>
    <row r="607" spans="1:6" x14ac:dyDescent="0.25">
      <c r="A607" s="136"/>
      <c r="B607" s="136"/>
      <c r="C607" s="136"/>
      <c r="D607" s="136"/>
      <c r="E607" s="137"/>
      <c r="F607" s="136"/>
    </row>
    <row r="608" spans="1:6" x14ac:dyDescent="0.25">
      <c r="A608" s="136"/>
      <c r="B608" s="136"/>
      <c r="C608" s="136"/>
      <c r="D608" s="136"/>
      <c r="E608" s="137"/>
      <c r="F608" s="136"/>
    </row>
    <row r="609" spans="1:6" x14ac:dyDescent="0.25">
      <c r="A609" s="136"/>
      <c r="B609" s="136"/>
      <c r="C609" s="136"/>
      <c r="D609" s="136"/>
      <c r="E609" s="137"/>
      <c r="F609" s="136"/>
    </row>
    <row r="610" spans="1:6" x14ac:dyDescent="0.25">
      <c r="A610" s="136"/>
      <c r="B610" s="136"/>
      <c r="C610" s="136"/>
      <c r="D610" s="136"/>
      <c r="E610" s="137"/>
      <c r="F610" s="136"/>
    </row>
    <row r="611" spans="1:6" x14ac:dyDescent="0.25">
      <c r="A611" s="136"/>
      <c r="B611" s="136"/>
      <c r="C611" s="136"/>
      <c r="D611" s="136"/>
      <c r="E611" s="137"/>
      <c r="F611" s="136"/>
    </row>
    <row r="612" spans="1:6" x14ac:dyDescent="0.25">
      <c r="A612" s="136"/>
      <c r="B612" s="136"/>
      <c r="C612" s="136"/>
      <c r="D612" s="136"/>
      <c r="E612" s="137"/>
      <c r="F612" s="136"/>
    </row>
    <row r="613" spans="1:6" x14ac:dyDescent="0.25">
      <c r="A613" s="136"/>
      <c r="B613" s="136"/>
      <c r="C613" s="136"/>
      <c r="D613" s="136"/>
      <c r="E613" s="137"/>
      <c r="F613" s="136"/>
    </row>
    <row r="614" spans="1:6" x14ac:dyDescent="0.25">
      <c r="A614" s="136"/>
      <c r="B614" s="136"/>
      <c r="C614" s="136"/>
      <c r="D614" s="136"/>
      <c r="E614" s="137"/>
      <c r="F614" s="136"/>
    </row>
    <row r="615" spans="1:6" x14ac:dyDescent="0.25">
      <c r="A615" s="136"/>
      <c r="B615" s="136"/>
      <c r="C615" s="136"/>
      <c r="D615" s="136"/>
      <c r="E615" s="137"/>
      <c r="F615" s="136"/>
    </row>
    <row r="616" spans="1:6" x14ac:dyDescent="0.25">
      <c r="A616" s="136"/>
      <c r="B616" s="136"/>
      <c r="C616" s="136"/>
      <c r="D616" s="136"/>
      <c r="E616" s="137"/>
      <c r="F616" s="136"/>
    </row>
    <row r="617" spans="1:6" x14ac:dyDescent="0.25">
      <c r="A617" s="136"/>
      <c r="B617" s="136"/>
      <c r="C617" s="136"/>
      <c r="D617" s="136"/>
      <c r="E617" s="137"/>
      <c r="F617" s="136"/>
    </row>
    <row r="618" spans="1:6" x14ac:dyDescent="0.25">
      <c r="A618" s="136"/>
      <c r="B618" s="136"/>
      <c r="C618" s="136"/>
      <c r="D618" s="136"/>
      <c r="E618" s="137"/>
      <c r="F618" s="136"/>
    </row>
    <row r="619" spans="1:6" x14ac:dyDescent="0.25">
      <c r="A619" s="136"/>
      <c r="B619" s="136"/>
      <c r="C619" s="136"/>
      <c r="D619" s="136"/>
      <c r="E619" s="137"/>
      <c r="F619" s="136"/>
    </row>
    <row r="620" spans="1:6" x14ac:dyDescent="0.25">
      <c r="A620" s="136"/>
      <c r="B620" s="136"/>
      <c r="C620" s="136"/>
      <c r="D620" s="136"/>
      <c r="E620" s="137"/>
      <c r="F620" s="136"/>
    </row>
    <row r="621" spans="1:6" x14ac:dyDescent="0.25">
      <c r="A621" s="136"/>
      <c r="B621" s="136"/>
      <c r="C621" s="136"/>
      <c r="D621" s="136"/>
      <c r="E621" s="137"/>
      <c r="F621" s="136"/>
    </row>
    <row r="622" spans="1:6" x14ac:dyDescent="0.25">
      <c r="A622" s="136"/>
      <c r="B622" s="136"/>
      <c r="C622" s="136"/>
      <c r="D622" s="136"/>
      <c r="E622" s="137"/>
      <c r="F622" s="136"/>
    </row>
    <row r="623" spans="1:6" x14ac:dyDescent="0.25">
      <c r="A623" s="136"/>
      <c r="B623" s="136"/>
      <c r="C623" s="136"/>
      <c r="D623" s="136"/>
      <c r="E623" s="137"/>
      <c r="F623" s="136"/>
    </row>
    <row r="624" spans="1:6" x14ac:dyDescent="0.25">
      <c r="A624" s="136"/>
      <c r="B624" s="136"/>
      <c r="C624" s="136"/>
      <c r="D624" s="136"/>
      <c r="E624" s="137"/>
      <c r="F624" s="136"/>
    </row>
    <row r="625" spans="1:6" x14ac:dyDescent="0.25">
      <c r="A625" s="136"/>
      <c r="B625" s="136"/>
      <c r="C625" s="136"/>
      <c r="D625" s="136"/>
      <c r="E625" s="137"/>
      <c r="F625" s="136"/>
    </row>
    <row r="626" spans="1:6" x14ac:dyDescent="0.25">
      <c r="A626" s="136"/>
      <c r="B626" s="136"/>
      <c r="C626" s="136"/>
      <c r="D626" s="136"/>
      <c r="E626" s="137"/>
      <c r="F626" s="136"/>
    </row>
    <row r="627" spans="1:6" x14ac:dyDescent="0.25">
      <c r="A627" s="136"/>
      <c r="B627" s="136"/>
      <c r="C627" s="136"/>
      <c r="D627" s="136"/>
      <c r="E627" s="137"/>
      <c r="F627" s="136"/>
    </row>
    <row r="628" spans="1:6" x14ac:dyDescent="0.25">
      <c r="A628" s="136"/>
      <c r="B628" s="136"/>
      <c r="C628" s="136"/>
      <c r="D628" s="136"/>
      <c r="E628" s="137"/>
      <c r="F628" s="136"/>
    </row>
    <row r="629" spans="1:6" x14ac:dyDescent="0.25">
      <c r="A629" s="136"/>
      <c r="B629" s="136"/>
      <c r="C629" s="136"/>
      <c r="D629" s="136"/>
      <c r="E629" s="137"/>
      <c r="F629" s="136"/>
    </row>
    <row r="630" spans="1:6" x14ac:dyDescent="0.25">
      <c r="A630" s="136"/>
      <c r="B630" s="136"/>
      <c r="C630" s="136"/>
      <c r="D630" s="136"/>
      <c r="E630" s="137"/>
      <c r="F630" s="136"/>
    </row>
    <row r="631" spans="1:6" x14ac:dyDescent="0.25">
      <c r="A631" s="136"/>
      <c r="B631" s="136"/>
      <c r="C631" s="136"/>
      <c r="D631" s="136"/>
      <c r="E631" s="137"/>
      <c r="F631" s="136"/>
    </row>
    <row r="632" spans="1:6" x14ac:dyDescent="0.25">
      <c r="A632" s="136"/>
      <c r="B632" s="136"/>
      <c r="C632" s="136"/>
      <c r="D632" s="136"/>
      <c r="E632" s="137"/>
      <c r="F632" s="136"/>
    </row>
    <row r="633" spans="1:6" x14ac:dyDescent="0.25">
      <c r="A633" s="136"/>
      <c r="B633" s="136"/>
      <c r="C633" s="136"/>
      <c r="D633" s="136"/>
      <c r="E633" s="137"/>
      <c r="F633" s="136"/>
    </row>
    <row r="634" spans="1:6" x14ac:dyDescent="0.25">
      <c r="A634" s="136"/>
      <c r="B634" s="136"/>
      <c r="C634" s="136"/>
      <c r="D634" s="136"/>
      <c r="E634" s="137"/>
      <c r="F634" s="136"/>
    </row>
    <row r="635" spans="1:6" x14ac:dyDescent="0.25">
      <c r="A635" s="136"/>
      <c r="B635" s="136"/>
      <c r="C635" s="136"/>
      <c r="D635" s="136"/>
      <c r="E635" s="137"/>
      <c r="F635" s="136"/>
    </row>
    <row r="636" spans="1:6" x14ac:dyDescent="0.25">
      <c r="A636" s="136"/>
      <c r="B636" s="136"/>
      <c r="C636" s="136"/>
      <c r="D636" s="136"/>
      <c r="E636" s="137"/>
      <c r="F636" s="136"/>
    </row>
    <row r="637" spans="1:6" x14ac:dyDescent="0.25">
      <c r="A637" s="136"/>
      <c r="B637" s="136"/>
      <c r="C637" s="136"/>
      <c r="D637" s="136"/>
      <c r="E637" s="137"/>
      <c r="F637" s="136"/>
    </row>
    <row r="638" spans="1:6" x14ac:dyDescent="0.25">
      <c r="A638" s="136"/>
      <c r="B638" s="136"/>
      <c r="C638" s="136"/>
      <c r="D638" s="136"/>
      <c r="E638" s="137"/>
      <c r="F638" s="136"/>
    </row>
    <row r="639" spans="1:6" x14ac:dyDescent="0.25">
      <c r="A639" s="136"/>
      <c r="B639" s="136"/>
      <c r="C639" s="136"/>
      <c r="D639" s="136"/>
      <c r="E639" s="137"/>
      <c r="F639" s="136"/>
    </row>
    <row r="640" spans="1:6" x14ac:dyDescent="0.25">
      <c r="A640" s="136"/>
      <c r="B640" s="136"/>
      <c r="C640" s="136"/>
      <c r="D640" s="136"/>
      <c r="E640" s="137"/>
      <c r="F640" s="136"/>
    </row>
    <row r="641" spans="1:6" x14ac:dyDescent="0.25">
      <c r="A641" s="136"/>
      <c r="B641" s="136"/>
      <c r="C641" s="136"/>
      <c r="D641" s="136"/>
      <c r="E641" s="137"/>
      <c r="F641" s="136"/>
    </row>
    <row r="642" spans="1:6" x14ac:dyDescent="0.25">
      <c r="A642" s="136"/>
      <c r="B642" s="136"/>
      <c r="C642" s="136"/>
      <c r="D642" s="136"/>
      <c r="E642" s="137"/>
      <c r="F642" s="136"/>
    </row>
    <row r="643" spans="1:6" x14ac:dyDescent="0.25">
      <c r="A643" s="136"/>
      <c r="B643" s="136"/>
      <c r="C643" s="136"/>
      <c r="D643" s="136"/>
      <c r="E643" s="137"/>
      <c r="F643" s="136"/>
    </row>
    <row r="644" spans="1:6" x14ac:dyDescent="0.25">
      <c r="A644" s="136"/>
      <c r="B644" s="136"/>
      <c r="C644" s="136"/>
      <c r="D644" s="136"/>
      <c r="E644" s="137"/>
      <c r="F644" s="136"/>
    </row>
    <row r="645" spans="1:6" x14ac:dyDescent="0.25">
      <c r="A645" s="136"/>
      <c r="B645" s="136"/>
      <c r="C645" s="136"/>
      <c r="D645" s="136"/>
      <c r="E645" s="137"/>
      <c r="F645" s="136"/>
    </row>
    <row r="646" spans="1:6" x14ac:dyDescent="0.25">
      <c r="A646" s="136"/>
      <c r="B646" s="136"/>
      <c r="C646" s="136"/>
      <c r="D646" s="136"/>
      <c r="E646" s="137"/>
      <c r="F646" s="136"/>
    </row>
    <row r="647" spans="1:6" x14ac:dyDescent="0.25">
      <c r="A647" s="136"/>
      <c r="B647" s="136"/>
      <c r="C647" s="136"/>
      <c r="D647" s="136"/>
      <c r="E647" s="137"/>
      <c r="F647" s="136"/>
    </row>
    <row r="648" spans="1:6" x14ac:dyDescent="0.25">
      <c r="A648" s="136"/>
      <c r="B648" s="136"/>
      <c r="C648" s="136"/>
      <c r="D648" s="136"/>
      <c r="E648" s="137"/>
      <c r="F648" s="136"/>
    </row>
    <row r="649" spans="1:6" x14ac:dyDescent="0.25">
      <c r="A649" s="136"/>
      <c r="B649" s="136"/>
      <c r="C649" s="136"/>
      <c r="D649" s="136"/>
      <c r="E649" s="137"/>
      <c r="F649" s="136"/>
    </row>
    <row r="650" spans="1:6" x14ac:dyDescent="0.25">
      <c r="A650" s="136"/>
      <c r="B650" s="136"/>
      <c r="C650" s="136"/>
      <c r="D650" s="136"/>
      <c r="E650" s="137"/>
      <c r="F650" s="136"/>
    </row>
    <row r="651" spans="1:6" x14ac:dyDescent="0.25">
      <c r="A651" s="136"/>
      <c r="B651" s="136"/>
      <c r="C651" s="136"/>
      <c r="D651" s="136"/>
      <c r="E651" s="137"/>
      <c r="F651" s="136"/>
    </row>
    <row r="652" spans="1:6" x14ac:dyDescent="0.25">
      <c r="A652" s="136"/>
      <c r="B652" s="136"/>
      <c r="C652" s="136"/>
      <c r="D652" s="136"/>
      <c r="E652" s="137"/>
      <c r="F652" s="136"/>
    </row>
    <row r="653" spans="1:6" x14ac:dyDescent="0.25">
      <c r="A653" s="136"/>
      <c r="B653" s="136"/>
      <c r="C653" s="136"/>
      <c r="D653" s="136"/>
      <c r="E653" s="137"/>
      <c r="F653" s="136"/>
    </row>
    <row r="654" spans="1:6" x14ac:dyDescent="0.25">
      <c r="A654" s="136"/>
      <c r="B654" s="136"/>
      <c r="C654" s="136"/>
      <c r="D654" s="136"/>
      <c r="E654" s="137"/>
      <c r="F654" s="136"/>
    </row>
    <row r="655" spans="1:6" x14ac:dyDescent="0.25">
      <c r="A655" s="136"/>
      <c r="B655" s="136"/>
      <c r="C655" s="136"/>
      <c r="D655" s="136"/>
      <c r="E655" s="137"/>
      <c r="F655" s="136"/>
    </row>
    <row r="656" spans="1:6" x14ac:dyDescent="0.25">
      <c r="A656" s="136"/>
      <c r="B656" s="136"/>
      <c r="C656" s="136"/>
      <c r="D656" s="136"/>
      <c r="E656" s="137"/>
      <c r="F656" s="136"/>
    </row>
    <row r="657" spans="1:6" x14ac:dyDescent="0.25">
      <c r="A657" s="136"/>
      <c r="B657" s="136"/>
      <c r="C657" s="136"/>
      <c r="D657" s="136"/>
      <c r="E657" s="137"/>
      <c r="F657" s="136"/>
    </row>
    <row r="658" spans="1:6" x14ac:dyDescent="0.25">
      <c r="A658" s="136"/>
      <c r="B658" s="136"/>
      <c r="C658" s="136"/>
      <c r="D658" s="136"/>
      <c r="E658" s="137"/>
      <c r="F658" s="136"/>
    </row>
    <row r="659" spans="1:6" x14ac:dyDescent="0.25">
      <c r="A659" s="136"/>
      <c r="B659" s="136"/>
      <c r="C659" s="136"/>
      <c r="D659" s="136"/>
      <c r="E659" s="137"/>
      <c r="F659" s="136"/>
    </row>
    <row r="660" spans="1:6" x14ac:dyDescent="0.25">
      <c r="A660" s="136"/>
      <c r="B660" s="136"/>
      <c r="C660" s="136"/>
      <c r="D660" s="136"/>
      <c r="E660" s="137"/>
      <c r="F660" s="136"/>
    </row>
    <row r="661" spans="1:6" x14ac:dyDescent="0.25">
      <c r="A661" s="136"/>
      <c r="B661" s="136"/>
      <c r="C661" s="136"/>
      <c r="D661" s="136"/>
      <c r="E661" s="137"/>
      <c r="F661" s="136"/>
    </row>
    <row r="662" spans="1:6" x14ac:dyDescent="0.25">
      <c r="A662" s="136"/>
      <c r="B662" s="136"/>
      <c r="C662" s="136"/>
      <c r="D662" s="136"/>
      <c r="E662" s="137"/>
      <c r="F662" s="136"/>
    </row>
    <row r="663" spans="1:6" x14ac:dyDescent="0.25">
      <c r="A663" s="136"/>
      <c r="B663" s="136"/>
      <c r="C663" s="136"/>
      <c r="D663" s="136"/>
      <c r="E663" s="137"/>
      <c r="F663" s="136"/>
    </row>
    <row r="664" spans="1:6" x14ac:dyDescent="0.25">
      <c r="A664" s="136"/>
      <c r="B664" s="136"/>
      <c r="C664" s="136"/>
      <c r="D664" s="136"/>
      <c r="E664" s="137"/>
      <c r="F664" s="136"/>
    </row>
    <row r="665" spans="1:6" x14ac:dyDescent="0.25">
      <c r="A665" s="136"/>
      <c r="B665" s="136"/>
      <c r="C665" s="136"/>
      <c r="D665" s="136"/>
      <c r="E665" s="137"/>
      <c r="F665" s="136"/>
    </row>
    <row r="666" spans="1:6" x14ac:dyDescent="0.25">
      <c r="A666" s="136"/>
      <c r="B666" s="136"/>
      <c r="C666" s="136"/>
      <c r="D666" s="136"/>
      <c r="E666" s="137"/>
      <c r="F666" s="136"/>
    </row>
    <row r="667" spans="1:6" x14ac:dyDescent="0.25">
      <c r="A667" s="136"/>
      <c r="B667" s="136"/>
      <c r="C667" s="136"/>
      <c r="D667" s="136"/>
      <c r="E667" s="137"/>
      <c r="F667" s="136"/>
    </row>
    <row r="668" spans="1:6" x14ac:dyDescent="0.25">
      <c r="A668" s="136"/>
      <c r="B668" s="136"/>
      <c r="C668" s="136"/>
      <c r="D668" s="136"/>
      <c r="E668" s="137"/>
      <c r="F668" s="136"/>
    </row>
    <row r="669" spans="1:6" x14ac:dyDescent="0.25">
      <c r="A669" s="136"/>
      <c r="B669" s="136"/>
      <c r="C669" s="136"/>
      <c r="D669" s="136"/>
      <c r="E669" s="137"/>
      <c r="F669" s="136"/>
    </row>
    <row r="670" spans="1:6" x14ac:dyDescent="0.25">
      <c r="A670" s="136"/>
      <c r="B670" s="136"/>
      <c r="C670" s="136"/>
      <c r="D670" s="136"/>
      <c r="E670" s="137"/>
      <c r="F670" s="136"/>
    </row>
    <row r="671" spans="1:6" x14ac:dyDescent="0.25">
      <c r="A671" s="136"/>
      <c r="B671" s="136"/>
      <c r="C671" s="136"/>
      <c r="D671" s="136"/>
      <c r="E671" s="137"/>
      <c r="F671" s="136"/>
    </row>
    <row r="672" spans="1:6" x14ac:dyDescent="0.25">
      <c r="A672" s="136"/>
      <c r="B672" s="136"/>
      <c r="C672" s="136"/>
      <c r="D672" s="136"/>
      <c r="E672" s="137"/>
      <c r="F672" s="136"/>
    </row>
    <row r="673" spans="1:6" x14ac:dyDescent="0.25">
      <c r="A673" s="136"/>
      <c r="B673" s="136"/>
      <c r="C673" s="136"/>
      <c r="D673" s="136"/>
      <c r="E673" s="137"/>
      <c r="F673" s="136"/>
    </row>
    <row r="674" spans="1:6" x14ac:dyDescent="0.25">
      <c r="A674" s="136"/>
      <c r="B674" s="136"/>
      <c r="C674" s="136"/>
      <c r="D674" s="136"/>
      <c r="E674" s="137"/>
      <c r="F674" s="136"/>
    </row>
    <row r="675" spans="1:6" x14ac:dyDescent="0.25">
      <c r="A675" s="136"/>
      <c r="B675" s="136"/>
      <c r="C675" s="136"/>
      <c r="D675" s="136"/>
      <c r="E675" s="137"/>
      <c r="F675" s="136"/>
    </row>
    <row r="676" spans="1:6" x14ac:dyDescent="0.25">
      <c r="A676" s="136"/>
      <c r="B676" s="136"/>
      <c r="C676" s="136"/>
      <c r="D676" s="136"/>
      <c r="E676" s="137"/>
      <c r="F676" s="136"/>
    </row>
    <row r="677" spans="1:6" x14ac:dyDescent="0.25">
      <c r="A677" s="136"/>
      <c r="B677" s="136"/>
      <c r="C677" s="136"/>
      <c r="D677" s="136"/>
      <c r="E677" s="137"/>
      <c r="F677" s="136"/>
    </row>
    <row r="678" spans="1:6" x14ac:dyDescent="0.25">
      <c r="A678" s="136"/>
      <c r="B678" s="136"/>
      <c r="C678" s="136"/>
      <c r="D678" s="136"/>
      <c r="E678" s="137"/>
      <c r="F678" s="136"/>
    </row>
    <row r="679" spans="1:6" x14ac:dyDescent="0.25">
      <c r="A679" s="136"/>
      <c r="B679" s="136"/>
      <c r="C679" s="136"/>
      <c r="D679" s="136"/>
      <c r="E679" s="137"/>
      <c r="F679" s="136"/>
    </row>
    <row r="680" spans="1:6" x14ac:dyDescent="0.25">
      <c r="A680" s="136"/>
      <c r="B680" s="136"/>
      <c r="C680" s="136"/>
      <c r="D680" s="136"/>
      <c r="E680" s="137"/>
      <c r="F680" s="136"/>
    </row>
    <row r="681" spans="1:6" x14ac:dyDescent="0.25">
      <c r="A681" s="136"/>
      <c r="B681" s="136"/>
      <c r="C681" s="136"/>
      <c r="D681" s="136"/>
      <c r="E681" s="137"/>
      <c r="F681" s="136"/>
    </row>
    <row r="682" spans="1:6" x14ac:dyDescent="0.25">
      <c r="A682" s="136"/>
      <c r="B682" s="136"/>
      <c r="C682" s="136"/>
      <c r="D682" s="136"/>
      <c r="E682" s="137"/>
      <c r="F682" s="136"/>
    </row>
    <row r="683" spans="1:6" x14ac:dyDescent="0.25">
      <c r="A683" s="136"/>
      <c r="B683" s="136"/>
      <c r="C683" s="136"/>
      <c r="D683" s="136"/>
      <c r="E683" s="137"/>
      <c r="F683" s="136"/>
    </row>
    <row r="684" spans="1:6" x14ac:dyDescent="0.25">
      <c r="A684" s="136"/>
      <c r="B684" s="136"/>
      <c r="C684" s="136"/>
      <c r="D684" s="136"/>
      <c r="E684" s="137"/>
      <c r="F684" s="136"/>
    </row>
    <row r="685" spans="1:6" x14ac:dyDescent="0.25">
      <c r="A685" s="136"/>
      <c r="B685" s="136"/>
      <c r="C685" s="136"/>
      <c r="D685" s="136"/>
      <c r="E685" s="137"/>
      <c r="F685" s="136"/>
    </row>
    <row r="686" spans="1:6" x14ac:dyDescent="0.25">
      <c r="A686" s="136"/>
      <c r="B686" s="136"/>
      <c r="C686" s="136"/>
      <c r="D686" s="136"/>
      <c r="E686" s="137"/>
      <c r="F686" s="136"/>
    </row>
    <row r="687" spans="1:6" x14ac:dyDescent="0.25">
      <c r="A687" s="136"/>
      <c r="B687" s="136"/>
      <c r="C687" s="136"/>
      <c r="D687" s="136"/>
      <c r="E687" s="137"/>
      <c r="F687" s="136"/>
    </row>
    <row r="688" spans="1:6" x14ac:dyDescent="0.25">
      <c r="A688" s="136"/>
      <c r="B688" s="136"/>
      <c r="C688" s="136"/>
      <c r="D688" s="136"/>
      <c r="E688" s="137"/>
      <c r="F688" s="136"/>
    </row>
    <row r="689" spans="1:6" x14ac:dyDescent="0.25">
      <c r="A689" s="136"/>
      <c r="B689" s="136"/>
      <c r="C689" s="136"/>
      <c r="D689" s="136"/>
      <c r="E689" s="137"/>
      <c r="F689" s="136"/>
    </row>
    <row r="690" spans="1:6" x14ac:dyDescent="0.25">
      <c r="A690" s="136"/>
      <c r="B690" s="136"/>
      <c r="C690" s="136"/>
      <c r="D690" s="136"/>
      <c r="E690" s="137"/>
      <c r="F690" s="136"/>
    </row>
    <row r="691" spans="1:6" x14ac:dyDescent="0.25">
      <c r="A691" s="136"/>
      <c r="B691" s="136"/>
      <c r="C691" s="136"/>
      <c r="D691" s="136"/>
      <c r="E691" s="137"/>
      <c r="F691" s="136"/>
    </row>
    <row r="692" spans="1:6" x14ac:dyDescent="0.25">
      <c r="A692" s="136"/>
      <c r="B692" s="136"/>
      <c r="C692" s="136"/>
      <c r="D692" s="136"/>
      <c r="E692" s="137"/>
      <c r="F692" s="136"/>
    </row>
    <row r="693" spans="1:6" x14ac:dyDescent="0.25">
      <c r="A693" s="136"/>
      <c r="B693" s="136"/>
      <c r="C693" s="136"/>
      <c r="D693" s="136"/>
      <c r="E693" s="137"/>
      <c r="F693" s="136"/>
    </row>
    <row r="694" spans="1:6" x14ac:dyDescent="0.25">
      <c r="A694" s="136"/>
      <c r="B694" s="136"/>
      <c r="C694" s="136"/>
      <c r="D694" s="136"/>
      <c r="E694" s="137"/>
      <c r="F694" s="136"/>
    </row>
    <row r="695" spans="1:6" x14ac:dyDescent="0.25">
      <c r="A695" s="136"/>
      <c r="B695" s="136"/>
      <c r="C695" s="136"/>
      <c r="D695" s="136"/>
      <c r="E695" s="137"/>
      <c r="F695" s="136"/>
    </row>
    <row r="696" spans="1:6" x14ac:dyDescent="0.25">
      <c r="A696" s="136"/>
      <c r="B696" s="136"/>
      <c r="C696" s="136"/>
      <c r="D696" s="136"/>
      <c r="E696" s="137"/>
      <c r="F696" s="136"/>
    </row>
    <row r="697" spans="1:6" x14ac:dyDescent="0.25">
      <c r="A697" s="136"/>
      <c r="B697" s="136"/>
      <c r="C697" s="136"/>
      <c r="D697" s="136"/>
      <c r="E697" s="137"/>
      <c r="F697" s="136"/>
    </row>
    <row r="698" spans="1:6" x14ac:dyDescent="0.25">
      <c r="A698" s="136"/>
      <c r="B698" s="136"/>
      <c r="C698" s="136"/>
      <c r="D698" s="136"/>
      <c r="E698" s="137"/>
      <c r="F698" s="136"/>
    </row>
    <row r="699" spans="1:6" x14ac:dyDescent="0.25">
      <c r="A699" s="136"/>
      <c r="B699" s="136"/>
      <c r="C699" s="136"/>
      <c r="D699" s="136"/>
      <c r="E699" s="137"/>
      <c r="F699" s="136"/>
    </row>
    <row r="700" spans="1:6" x14ac:dyDescent="0.25">
      <c r="A700" s="136"/>
      <c r="B700" s="136"/>
      <c r="C700" s="136"/>
      <c r="D700" s="136"/>
      <c r="E700" s="137"/>
      <c r="F700" s="136"/>
    </row>
    <row r="701" spans="1:6" x14ac:dyDescent="0.25">
      <c r="A701" s="136"/>
      <c r="B701" s="136"/>
      <c r="C701" s="136"/>
      <c r="D701" s="136"/>
      <c r="E701" s="137"/>
      <c r="F701" s="136"/>
    </row>
    <row r="702" spans="1:6" x14ac:dyDescent="0.25">
      <c r="A702" s="136"/>
      <c r="B702" s="136"/>
      <c r="C702" s="136"/>
      <c r="D702" s="136"/>
      <c r="E702" s="137"/>
      <c r="F702" s="136"/>
    </row>
    <row r="703" spans="1:6" x14ac:dyDescent="0.25">
      <c r="A703" s="136"/>
      <c r="B703" s="136"/>
      <c r="C703" s="136"/>
      <c r="D703" s="136"/>
      <c r="E703" s="137"/>
      <c r="F703" s="136"/>
    </row>
    <row r="704" spans="1:6" x14ac:dyDescent="0.25">
      <c r="A704" s="136"/>
      <c r="B704" s="136"/>
      <c r="C704" s="136"/>
      <c r="D704" s="136"/>
      <c r="E704" s="137"/>
      <c r="F704" s="136"/>
    </row>
    <row r="705" spans="1:6" x14ac:dyDescent="0.25">
      <c r="A705" s="136"/>
      <c r="B705" s="136"/>
      <c r="C705" s="136"/>
      <c r="D705" s="136"/>
      <c r="E705" s="137"/>
      <c r="F705" s="136"/>
    </row>
    <row r="706" spans="1:6" x14ac:dyDescent="0.25">
      <c r="A706" s="136"/>
      <c r="B706" s="136"/>
      <c r="C706" s="136"/>
      <c r="D706" s="136"/>
      <c r="E706" s="137"/>
      <c r="F706" s="136"/>
    </row>
  </sheetData>
  <sheetProtection algorithmName="SHA-512" hashValue="PVYuDJK7tojdJbQga/vFmVtuyfhkIPR22x8tzdpRPj8EJAVFoZoiqytfc+YowOYUNRmYVnBoIJ7QykYn7fUwsg==" saltValue="H7XnXzguqFPffP4xm+Fd5A==" spinCount="100000" sheet="1" objects="1" scenarios="1"/>
  <mergeCells count="5">
    <mergeCell ref="H16:J16"/>
    <mergeCell ref="A3:F3"/>
    <mergeCell ref="H4:J4"/>
    <mergeCell ref="H8:J8"/>
    <mergeCell ref="H12:J12"/>
  </mergeCells>
  <conditionalFormatting sqref="E12:E1048576 E1:E3">
    <cfRule type="cellIs" dxfId="208" priority="7" operator="lessThan">
      <formula>59</formula>
    </cfRule>
  </conditionalFormatting>
  <conditionalFormatting sqref="E5:E9">
    <cfRule type="cellIs" dxfId="207" priority="1" operator="lessThan">
      <formula>50</formula>
    </cfRule>
  </conditionalFormatting>
  <pageMargins left="0.59375" right="0.42552083333333335" top="0.27708333333333335" bottom="0.39370078740157483" header="0.39370078740157483" footer="0.39370078740157483"/>
  <pageSetup paperSize="9" scale="95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7030A0"/>
    <pageSetUpPr fitToPage="1"/>
  </sheetPr>
  <dimension ref="A1:AG40"/>
  <sheetViews>
    <sheetView showZeros="0" zoomScaleNormal="100" workbookViewId="0">
      <selection activeCell="Z2" sqref="Z2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21"/>
      <c r="B1" s="235" t="s">
        <v>73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21"/>
      <c r="B2" s="21"/>
      <c r="C2" s="14" t="s">
        <v>39</v>
      </c>
      <c r="D2" s="14" t="s">
        <v>40</v>
      </c>
      <c r="E2" s="14" t="s">
        <v>41</v>
      </c>
      <c r="F2" s="14" t="s">
        <v>74</v>
      </c>
      <c r="G2" s="14" t="s">
        <v>44</v>
      </c>
      <c r="H2" s="14" t="s">
        <v>75</v>
      </c>
      <c r="I2" s="14" t="s">
        <v>46</v>
      </c>
      <c r="J2" s="14" t="s">
        <v>48</v>
      </c>
      <c r="K2" s="14" t="s">
        <v>49</v>
      </c>
      <c r="L2" s="15" t="s">
        <v>76</v>
      </c>
      <c r="M2" s="15" t="s">
        <v>52</v>
      </c>
      <c r="N2" s="15" t="s">
        <v>20</v>
      </c>
      <c r="O2" s="15" t="s">
        <v>77</v>
      </c>
      <c r="P2" s="15" t="s">
        <v>78</v>
      </c>
      <c r="Q2" s="15" t="s">
        <v>79</v>
      </c>
      <c r="R2" s="15" t="s">
        <v>55</v>
      </c>
      <c r="S2" s="15" t="s">
        <v>56</v>
      </c>
      <c r="T2" s="15" t="s">
        <v>60</v>
      </c>
      <c r="U2" s="15" t="s">
        <v>61</v>
      </c>
      <c r="V2" s="15" t="s">
        <v>63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20.25" customHeight="1" thickBot="1" x14ac:dyDescent="0.35">
      <c r="A3" s="18" t="s">
        <v>10</v>
      </c>
      <c r="B3" s="16" t="s">
        <v>9</v>
      </c>
      <c r="C3" s="101" t="s">
        <v>94</v>
      </c>
      <c r="D3" s="101" t="s">
        <v>95</v>
      </c>
      <c r="E3" s="101" t="s">
        <v>96</v>
      </c>
      <c r="F3" s="101" t="s">
        <v>97</v>
      </c>
      <c r="G3" s="101" t="s">
        <v>98</v>
      </c>
      <c r="H3" s="101" t="s">
        <v>99</v>
      </c>
      <c r="I3" s="101" t="s">
        <v>100</v>
      </c>
      <c r="J3" s="101" t="s">
        <v>101</v>
      </c>
      <c r="K3" s="101" t="s">
        <v>102</v>
      </c>
      <c r="L3" s="101" t="s">
        <v>103</v>
      </c>
      <c r="M3" s="101" t="s">
        <v>104</v>
      </c>
      <c r="N3" s="101" t="s">
        <v>105</v>
      </c>
      <c r="O3" s="101" t="s">
        <v>113</v>
      </c>
      <c r="P3" s="101" t="s">
        <v>115</v>
      </c>
      <c r="Q3" s="101" t="s">
        <v>116</v>
      </c>
      <c r="R3" s="101" t="s">
        <v>117</v>
      </c>
      <c r="S3" s="101" t="s">
        <v>106</v>
      </c>
      <c r="T3" s="101" t="s">
        <v>118</v>
      </c>
      <c r="U3" s="101" t="s">
        <v>119</v>
      </c>
      <c r="V3" s="101" t="s">
        <v>120</v>
      </c>
      <c r="W3" s="101" t="s">
        <v>114</v>
      </c>
    </row>
    <row r="4" spans="1:33" s="9" customFormat="1" ht="20.25" customHeight="1" thickBot="1" x14ac:dyDescent="0.35">
      <c r="A4" s="19" t="s">
        <v>143</v>
      </c>
      <c r="B4" s="19" t="s">
        <v>144</v>
      </c>
      <c r="C4" s="101">
        <v>11</v>
      </c>
      <c r="D4" s="102">
        <v>9</v>
      </c>
      <c r="E4" s="102">
        <v>9</v>
      </c>
      <c r="F4" s="102">
        <v>10</v>
      </c>
      <c r="G4" s="102">
        <v>10</v>
      </c>
      <c r="H4" s="102">
        <v>10</v>
      </c>
      <c r="I4" s="102">
        <v>5</v>
      </c>
      <c r="J4" s="102">
        <v>10</v>
      </c>
      <c r="K4" s="102">
        <v>10</v>
      </c>
      <c r="L4" s="102">
        <v>10</v>
      </c>
      <c r="M4" s="102">
        <v>15</v>
      </c>
      <c r="N4" s="102">
        <v>69</v>
      </c>
      <c r="O4" s="102">
        <v>15</v>
      </c>
      <c r="P4" s="102">
        <v>15</v>
      </c>
      <c r="Q4" s="102">
        <v>18</v>
      </c>
      <c r="R4" s="102">
        <v>17</v>
      </c>
      <c r="S4" s="102">
        <v>16</v>
      </c>
      <c r="T4" s="102">
        <v>18</v>
      </c>
      <c r="U4" s="102">
        <v>18</v>
      </c>
      <c r="V4" s="102">
        <v>15</v>
      </c>
      <c r="W4" s="102">
        <v>77.5</v>
      </c>
    </row>
    <row r="5" spans="1:33" s="9" customFormat="1" ht="20.25" customHeight="1" thickBot="1" x14ac:dyDescent="0.35">
      <c r="A5" s="19" t="s">
        <v>83</v>
      </c>
      <c r="B5" s="19" t="s">
        <v>84</v>
      </c>
      <c r="C5" s="101">
        <v>19</v>
      </c>
      <c r="D5" s="102">
        <v>4</v>
      </c>
      <c r="E5" s="102">
        <v>9</v>
      </c>
      <c r="F5" s="102">
        <v>4</v>
      </c>
      <c r="G5" s="102">
        <v>10</v>
      </c>
      <c r="H5" s="102">
        <v>5</v>
      </c>
      <c r="I5" s="102">
        <v>10</v>
      </c>
      <c r="J5" s="102">
        <v>10</v>
      </c>
      <c r="K5" s="102">
        <v>5</v>
      </c>
      <c r="L5" s="102">
        <v>7</v>
      </c>
      <c r="M5" s="102">
        <v>15</v>
      </c>
      <c r="N5" s="102">
        <v>20</v>
      </c>
      <c r="O5" s="102">
        <v>11</v>
      </c>
      <c r="P5" s="102">
        <v>12</v>
      </c>
      <c r="Q5" s="102">
        <v>15</v>
      </c>
      <c r="R5" s="102">
        <v>18</v>
      </c>
      <c r="S5" s="102">
        <v>9</v>
      </c>
      <c r="T5" s="102">
        <v>11</v>
      </c>
      <c r="U5" s="102">
        <v>11</v>
      </c>
      <c r="V5" s="102">
        <v>9</v>
      </c>
      <c r="W5" s="102">
        <v>53.5</v>
      </c>
    </row>
    <row r="6" spans="1:33" s="9" customFormat="1" ht="20.25" customHeight="1" x14ac:dyDescent="0.25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</row>
    <row r="7" spans="1:33" s="9" customFormat="1" ht="20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ht="20.2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33" s="9" customFormat="1" ht="20.2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ht="19.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 s="9" customForma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:33" s="9" customForma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</sheetData>
  <mergeCells count="1">
    <mergeCell ref="B1:W1"/>
  </mergeCells>
  <conditionalFormatting sqref="C4:C5">
    <cfRule type="cellIs" dxfId="198" priority="9" operator="lessThan">
      <formula>20</formula>
    </cfRule>
  </conditionalFormatting>
  <conditionalFormatting sqref="D4:D5 F4:L5">
    <cfRule type="cellIs" dxfId="197" priority="8" operator="lessThan">
      <formula>5</formula>
    </cfRule>
  </conditionalFormatting>
  <conditionalFormatting sqref="E4:E5 O4:V5">
    <cfRule type="cellIs" dxfId="196" priority="7" operator="lessThan">
      <formula>10</formula>
    </cfRule>
  </conditionalFormatting>
  <conditionalFormatting sqref="M4:M5">
    <cfRule type="cellIs" dxfId="195" priority="4" operator="lessThan">
      <formula>15</formula>
    </cfRule>
  </conditionalFormatting>
  <conditionalFormatting sqref="N4:N5">
    <cfRule type="cellIs" dxfId="194" priority="3" operator="lessThan">
      <formula>35</formula>
    </cfRule>
  </conditionalFormatting>
  <conditionalFormatting sqref="W4:W5">
    <cfRule type="cellIs" dxfId="193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7030A0"/>
    <pageSetUpPr fitToPage="1"/>
  </sheetPr>
  <dimension ref="A1:AG38"/>
  <sheetViews>
    <sheetView showZeros="0" zoomScaleNormal="100" workbookViewId="0">
      <selection activeCell="B1" sqref="B1:W1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12"/>
      <c r="B1" s="235" t="s">
        <v>134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12"/>
      <c r="B2" s="12"/>
      <c r="C2" s="14" t="s">
        <v>39</v>
      </c>
      <c r="D2" s="14" t="s">
        <v>40</v>
      </c>
      <c r="E2" s="14" t="s">
        <v>41</v>
      </c>
      <c r="F2" s="14" t="s">
        <v>74</v>
      </c>
      <c r="G2" s="14" t="s">
        <v>44</v>
      </c>
      <c r="H2" s="14" t="s">
        <v>75</v>
      </c>
      <c r="I2" s="14" t="s">
        <v>46</v>
      </c>
      <c r="J2" s="14" t="s">
        <v>48</v>
      </c>
      <c r="K2" s="14" t="s">
        <v>49</v>
      </c>
      <c r="L2" s="15" t="s">
        <v>76</v>
      </c>
      <c r="M2" s="15" t="s">
        <v>52</v>
      </c>
      <c r="N2" s="15" t="s">
        <v>20</v>
      </c>
      <c r="O2" s="15" t="s">
        <v>77</v>
      </c>
      <c r="P2" s="15" t="s">
        <v>78</v>
      </c>
      <c r="Q2" s="15" t="s">
        <v>79</v>
      </c>
      <c r="R2" s="15" t="s">
        <v>55</v>
      </c>
      <c r="S2" s="15" t="s">
        <v>56</v>
      </c>
      <c r="T2" s="15" t="s">
        <v>60</v>
      </c>
      <c r="U2" s="15" t="s">
        <v>61</v>
      </c>
      <c r="V2" s="15" t="s">
        <v>63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20.25" customHeight="1" thickBot="1" x14ac:dyDescent="0.35">
      <c r="A3" s="18" t="s">
        <v>10</v>
      </c>
      <c r="B3" s="16" t="s">
        <v>9</v>
      </c>
      <c r="C3" s="101" t="s">
        <v>94</v>
      </c>
      <c r="D3" s="101" t="s">
        <v>95</v>
      </c>
      <c r="E3" s="101" t="s">
        <v>96</v>
      </c>
      <c r="F3" s="101" t="s">
        <v>97</v>
      </c>
      <c r="G3" s="101" t="s">
        <v>98</v>
      </c>
      <c r="H3" s="101" t="s">
        <v>99</v>
      </c>
      <c r="I3" s="101" t="s">
        <v>100</v>
      </c>
      <c r="J3" s="101" t="s">
        <v>101</v>
      </c>
      <c r="K3" s="101" t="s">
        <v>102</v>
      </c>
      <c r="L3" s="101" t="s">
        <v>103</v>
      </c>
      <c r="M3" s="101" t="s">
        <v>104</v>
      </c>
      <c r="N3" s="101" t="s">
        <v>105</v>
      </c>
      <c r="O3" s="101" t="s">
        <v>113</v>
      </c>
      <c r="P3" s="101" t="s">
        <v>115</v>
      </c>
      <c r="Q3" s="101" t="s">
        <v>116</v>
      </c>
      <c r="R3" s="101" t="s">
        <v>117</v>
      </c>
      <c r="S3" s="101" t="s">
        <v>106</v>
      </c>
      <c r="T3" s="101" t="s">
        <v>118</v>
      </c>
      <c r="U3" s="101" t="s">
        <v>119</v>
      </c>
      <c r="V3" s="101" t="s">
        <v>120</v>
      </c>
      <c r="W3" s="101" t="s">
        <v>114</v>
      </c>
    </row>
    <row r="4" spans="1:33" s="9" customFormat="1" ht="20.25" customHeight="1" thickBot="1" x14ac:dyDescent="0.35">
      <c r="A4" s="19" t="s">
        <v>83</v>
      </c>
      <c r="B4" s="19" t="s">
        <v>84</v>
      </c>
      <c r="C4" s="101">
        <v>19</v>
      </c>
      <c r="D4" s="102">
        <v>4</v>
      </c>
      <c r="E4" s="102">
        <v>9</v>
      </c>
      <c r="F4" s="102">
        <v>4</v>
      </c>
      <c r="G4" s="102">
        <v>10</v>
      </c>
      <c r="H4" s="102">
        <v>5</v>
      </c>
      <c r="I4" s="102">
        <v>10</v>
      </c>
      <c r="J4" s="102">
        <v>10</v>
      </c>
      <c r="K4" s="102">
        <v>5</v>
      </c>
      <c r="L4" s="102">
        <v>7</v>
      </c>
      <c r="M4" s="102">
        <v>15</v>
      </c>
      <c r="N4" s="102">
        <v>20</v>
      </c>
      <c r="O4" s="102">
        <v>11</v>
      </c>
      <c r="P4" s="102">
        <v>12</v>
      </c>
      <c r="Q4" s="102">
        <v>15</v>
      </c>
      <c r="R4" s="102">
        <v>18</v>
      </c>
      <c r="S4" s="102">
        <v>9</v>
      </c>
      <c r="T4" s="102">
        <v>11</v>
      </c>
      <c r="U4" s="102">
        <v>11</v>
      </c>
      <c r="V4" s="102">
        <v>9</v>
      </c>
      <c r="W4" s="102">
        <v>53.5</v>
      </c>
    </row>
    <row r="5" spans="1:33" s="9" customFormat="1" ht="20.25" customHeight="1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1:33" s="9" customFormat="1" ht="20.2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33" s="9" customFormat="1" ht="20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ht="19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">
    <cfRule type="cellIs" dxfId="167" priority="9" operator="lessThan">
      <formula>20</formula>
    </cfRule>
  </conditionalFormatting>
  <conditionalFormatting sqref="D4">
    <cfRule type="cellIs" dxfId="166" priority="8" operator="lessThan">
      <formula>5</formula>
    </cfRule>
  </conditionalFormatting>
  <conditionalFormatting sqref="E4">
    <cfRule type="cellIs" dxfId="165" priority="7" operator="lessThan">
      <formula>10</formula>
    </cfRule>
  </conditionalFormatting>
  <conditionalFormatting sqref="F4">
    <cfRule type="cellIs" dxfId="164" priority="6" operator="lessThan">
      <formula>5</formula>
    </cfRule>
  </conditionalFormatting>
  <conditionalFormatting sqref="G4:L4">
    <cfRule type="cellIs" dxfId="163" priority="5" operator="lessThan">
      <formula>5</formula>
    </cfRule>
  </conditionalFormatting>
  <conditionalFormatting sqref="M4">
    <cfRule type="cellIs" dxfId="162" priority="4" operator="lessThan">
      <formula>15</formula>
    </cfRule>
  </conditionalFormatting>
  <conditionalFormatting sqref="N4">
    <cfRule type="cellIs" dxfId="161" priority="3" operator="lessThan">
      <formula>35</formula>
    </cfRule>
  </conditionalFormatting>
  <conditionalFormatting sqref="O4:V4">
    <cfRule type="cellIs" dxfId="160" priority="2" operator="lessThan">
      <formula>10</formula>
    </cfRule>
  </conditionalFormatting>
  <conditionalFormatting sqref="W4">
    <cfRule type="cellIs" dxfId="159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rgb="FF7030A0"/>
    <pageSetUpPr fitToPage="1"/>
  </sheetPr>
  <dimension ref="A1:AG38"/>
  <sheetViews>
    <sheetView showZeros="0" zoomScaleNormal="100" workbookViewId="0">
      <selection activeCell="B1" sqref="B1:W1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12"/>
      <c r="B1" s="235" t="s">
        <v>135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12"/>
      <c r="B2" s="12"/>
      <c r="C2" s="14" t="s">
        <v>39</v>
      </c>
      <c r="D2" s="14" t="s">
        <v>40</v>
      </c>
      <c r="E2" s="14" t="s">
        <v>41</v>
      </c>
      <c r="F2" s="14" t="s">
        <v>74</v>
      </c>
      <c r="G2" s="14" t="s">
        <v>44</v>
      </c>
      <c r="H2" s="14" t="s">
        <v>75</v>
      </c>
      <c r="I2" s="14" t="s">
        <v>46</v>
      </c>
      <c r="J2" s="14" t="s">
        <v>48</v>
      </c>
      <c r="K2" s="14" t="s">
        <v>49</v>
      </c>
      <c r="L2" s="15" t="s">
        <v>76</v>
      </c>
      <c r="M2" s="15" t="s">
        <v>52</v>
      </c>
      <c r="N2" s="15" t="s">
        <v>20</v>
      </c>
      <c r="O2" s="15" t="s">
        <v>77</v>
      </c>
      <c r="P2" s="15" t="s">
        <v>78</v>
      </c>
      <c r="Q2" s="15" t="s">
        <v>79</v>
      </c>
      <c r="R2" s="15" t="s">
        <v>55</v>
      </c>
      <c r="S2" s="15" t="s">
        <v>56</v>
      </c>
      <c r="T2" s="15" t="s">
        <v>60</v>
      </c>
      <c r="U2" s="15" t="s">
        <v>61</v>
      </c>
      <c r="V2" s="15" t="s">
        <v>63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17.25" thickBot="1" x14ac:dyDescent="0.35">
      <c r="A3" s="18" t="s">
        <v>10</v>
      </c>
      <c r="B3" s="16" t="s">
        <v>9</v>
      </c>
      <c r="C3" s="101" t="s">
        <v>123</v>
      </c>
      <c r="D3" s="102" t="s">
        <v>96</v>
      </c>
      <c r="E3" s="102" t="s">
        <v>94</v>
      </c>
      <c r="F3" s="102" t="s">
        <v>106</v>
      </c>
      <c r="G3" s="102" t="s">
        <v>107</v>
      </c>
      <c r="H3" s="102" t="s">
        <v>108</v>
      </c>
      <c r="I3" s="102" t="s">
        <v>109</v>
      </c>
      <c r="J3" s="102" t="s">
        <v>110</v>
      </c>
      <c r="K3" s="102" t="s">
        <v>111</v>
      </c>
      <c r="L3" s="102" t="s">
        <v>112</v>
      </c>
      <c r="M3" s="102" t="s">
        <v>124</v>
      </c>
      <c r="N3" s="102" t="s">
        <v>125</v>
      </c>
      <c r="O3" s="102" t="s">
        <v>126</v>
      </c>
      <c r="P3" s="102" t="s">
        <v>127</v>
      </c>
      <c r="Q3" s="102" t="s">
        <v>128</v>
      </c>
      <c r="R3" s="102" t="s">
        <v>129</v>
      </c>
      <c r="S3" s="102" t="s">
        <v>130</v>
      </c>
      <c r="T3" s="102" t="s">
        <v>131</v>
      </c>
      <c r="U3" s="102" t="s">
        <v>132</v>
      </c>
      <c r="V3" s="102" t="s">
        <v>133</v>
      </c>
      <c r="W3" s="102" t="s">
        <v>114</v>
      </c>
    </row>
    <row r="4" spans="1:33" s="9" customFormat="1" ht="17.25" thickBot="1" x14ac:dyDescent="0.35">
      <c r="A4" s="19" t="s">
        <v>87</v>
      </c>
      <c r="B4" s="19" t="s">
        <v>18</v>
      </c>
      <c r="C4" s="101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42"/>
      <c r="O4" s="102"/>
      <c r="P4" s="102"/>
      <c r="Q4" s="102"/>
      <c r="R4" s="102"/>
      <c r="S4" s="102">
        <v>11</v>
      </c>
      <c r="T4" s="102">
        <v>20</v>
      </c>
      <c r="U4" s="102">
        <v>12</v>
      </c>
      <c r="V4" s="102"/>
      <c r="W4" s="102">
        <v>5.4</v>
      </c>
    </row>
    <row r="5" spans="1:33" s="9" customFormat="1" ht="17.25" thickBot="1" x14ac:dyDescent="0.35">
      <c r="A5" s="19" t="s">
        <v>85</v>
      </c>
      <c r="B5" s="19" t="s">
        <v>86</v>
      </c>
      <c r="C5" s="101">
        <v>45</v>
      </c>
      <c r="D5" s="102">
        <v>10</v>
      </c>
      <c r="E5" s="102">
        <v>19</v>
      </c>
      <c r="F5" s="102">
        <v>5</v>
      </c>
      <c r="G5" s="102">
        <v>9</v>
      </c>
      <c r="H5" s="102">
        <v>9</v>
      </c>
      <c r="I5" s="102">
        <v>4</v>
      </c>
      <c r="J5" s="102">
        <v>21</v>
      </c>
      <c r="K5" s="102">
        <v>19</v>
      </c>
      <c r="L5" s="102">
        <v>9</v>
      </c>
      <c r="M5" s="102">
        <v>61</v>
      </c>
      <c r="N5" s="142">
        <v>141</v>
      </c>
      <c r="O5" s="102">
        <v>41</v>
      </c>
      <c r="P5" s="102">
        <v>19</v>
      </c>
      <c r="Q5" s="102">
        <v>41</v>
      </c>
      <c r="R5" s="102">
        <v>19</v>
      </c>
      <c r="S5" s="102">
        <v>19</v>
      </c>
      <c r="T5" s="102">
        <v>47</v>
      </c>
      <c r="U5" s="102">
        <v>41</v>
      </c>
      <c r="V5" s="102">
        <v>41</v>
      </c>
      <c r="W5" s="102">
        <v>77.5</v>
      </c>
    </row>
    <row r="6" spans="1:33" s="9" customFormat="1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</row>
    <row r="7" spans="1:33" s="9" customForma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:C5">
    <cfRule type="cellIs" dxfId="133" priority="8" operator="lessThan">
      <formula>40</formula>
    </cfRule>
  </conditionalFormatting>
  <conditionalFormatting sqref="D4:D5">
    <cfRule type="cellIs" dxfId="132" priority="7" operator="lessThan">
      <formula>10</formula>
    </cfRule>
  </conditionalFormatting>
  <conditionalFormatting sqref="E4:E5">
    <cfRule type="cellIs" dxfId="131" priority="6" operator="lessThan">
      <formula>20</formula>
    </cfRule>
  </conditionalFormatting>
  <conditionalFormatting sqref="F4:L5">
    <cfRule type="cellIs" dxfId="130" priority="5" operator="lessThan">
      <formula>10</formula>
    </cfRule>
  </conditionalFormatting>
  <conditionalFormatting sqref="M4:M5">
    <cfRule type="cellIs" dxfId="129" priority="4" operator="lessThan">
      <formula>30</formula>
    </cfRule>
  </conditionalFormatting>
  <conditionalFormatting sqref="N4:N5">
    <cfRule type="cellIs" dxfId="128" priority="3" operator="lessThan">
      <formula>70</formula>
    </cfRule>
  </conditionalFormatting>
  <conditionalFormatting sqref="O4:V5">
    <cfRule type="cellIs" dxfId="127" priority="2" operator="lessThan">
      <formula>20</formula>
    </cfRule>
  </conditionalFormatting>
  <conditionalFormatting sqref="W4:W5">
    <cfRule type="cellIs" dxfId="126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7030A0"/>
    <pageSetUpPr fitToPage="1"/>
  </sheetPr>
  <dimension ref="A1:AG38"/>
  <sheetViews>
    <sheetView showZeros="0" zoomScaleNormal="100" workbookViewId="0">
      <selection activeCell="B1" sqref="B1:W1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21"/>
      <c r="B1" s="235" t="s">
        <v>137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21"/>
      <c r="B2" s="21"/>
      <c r="C2" s="14" t="s">
        <v>39</v>
      </c>
      <c r="D2" s="14" t="s">
        <v>40</v>
      </c>
      <c r="E2" s="14" t="s">
        <v>41</v>
      </c>
      <c r="F2" s="14" t="s">
        <v>74</v>
      </c>
      <c r="G2" s="14" t="s">
        <v>44</v>
      </c>
      <c r="H2" s="14" t="s">
        <v>75</v>
      </c>
      <c r="I2" s="14" t="s">
        <v>46</v>
      </c>
      <c r="J2" s="14" t="s">
        <v>48</v>
      </c>
      <c r="K2" s="14" t="s">
        <v>49</v>
      </c>
      <c r="L2" s="15" t="s">
        <v>76</v>
      </c>
      <c r="M2" s="15" t="s">
        <v>52</v>
      </c>
      <c r="N2" s="15" t="s">
        <v>20</v>
      </c>
      <c r="O2" s="15" t="s">
        <v>77</v>
      </c>
      <c r="P2" s="15" t="s">
        <v>78</v>
      </c>
      <c r="Q2" s="15" t="s">
        <v>79</v>
      </c>
      <c r="R2" s="15" t="s">
        <v>55</v>
      </c>
      <c r="S2" s="15" t="s">
        <v>56</v>
      </c>
      <c r="T2" s="15" t="s">
        <v>60</v>
      </c>
      <c r="U2" s="15" t="s">
        <v>61</v>
      </c>
      <c r="V2" s="15" t="s">
        <v>63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20.25" customHeight="1" thickBot="1" x14ac:dyDescent="0.35">
      <c r="A3" s="18" t="s">
        <v>10</v>
      </c>
      <c r="B3" s="16" t="s">
        <v>9</v>
      </c>
      <c r="C3" s="101" t="s">
        <v>94</v>
      </c>
      <c r="D3" s="101" t="s">
        <v>95</v>
      </c>
      <c r="E3" s="101" t="s">
        <v>96</v>
      </c>
      <c r="F3" s="101" t="s">
        <v>97</v>
      </c>
      <c r="G3" s="101" t="s">
        <v>98</v>
      </c>
      <c r="H3" s="101" t="s">
        <v>99</v>
      </c>
      <c r="I3" s="101" t="s">
        <v>100</v>
      </c>
      <c r="J3" s="101" t="s">
        <v>101</v>
      </c>
      <c r="K3" s="101" t="s">
        <v>102</v>
      </c>
      <c r="L3" s="101" t="s">
        <v>103</v>
      </c>
      <c r="M3" s="101" t="s">
        <v>104</v>
      </c>
      <c r="N3" s="101" t="s">
        <v>105</v>
      </c>
      <c r="O3" s="101" t="s">
        <v>113</v>
      </c>
      <c r="P3" s="101" t="s">
        <v>115</v>
      </c>
      <c r="Q3" s="101" t="s">
        <v>116</v>
      </c>
      <c r="R3" s="101" t="s">
        <v>117</v>
      </c>
      <c r="S3" s="101" t="s">
        <v>106</v>
      </c>
      <c r="T3" s="101" t="s">
        <v>118</v>
      </c>
      <c r="U3" s="101" t="s">
        <v>119</v>
      </c>
      <c r="V3" s="101" t="s">
        <v>120</v>
      </c>
      <c r="W3" s="101" t="s">
        <v>114</v>
      </c>
    </row>
    <row r="4" spans="1:33" s="9" customFormat="1" ht="20.25" customHeight="1" thickBot="1" x14ac:dyDescent="0.35">
      <c r="A4" s="19" t="s">
        <v>83</v>
      </c>
      <c r="B4" s="19" t="s">
        <v>84</v>
      </c>
      <c r="C4" s="101">
        <v>19</v>
      </c>
      <c r="D4" s="102">
        <v>4</v>
      </c>
      <c r="E4" s="102">
        <v>9</v>
      </c>
      <c r="F4" s="102">
        <v>4</v>
      </c>
      <c r="G4" s="102">
        <v>10</v>
      </c>
      <c r="H4" s="102">
        <v>5</v>
      </c>
      <c r="I4" s="102">
        <v>10</v>
      </c>
      <c r="J4" s="102">
        <v>10</v>
      </c>
      <c r="K4" s="102">
        <v>5</v>
      </c>
      <c r="L4" s="102">
        <v>7</v>
      </c>
      <c r="M4" s="102">
        <v>15</v>
      </c>
      <c r="N4" s="102">
        <v>20</v>
      </c>
      <c r="O4" s="102">
        <v>11</v>
      </c>
      <c r="P4" s="102">
        <v>12</v>
      </c>
      <c r="Q4" s="102">
        <v>15</v>
      </c>
      <c r="R4" s="102">
        <v>18</v>
      </c>
      <c r="S4" s="102">
        <v>9</v>
      </c>
      <c r="T4" s="102">
        <v>11</v>
      </c>
      <c r="U4" s="102">
        <v>11</v>
      </c>
      <c r="V4" s="102">
        <v>9</v>
      </c>
      <c r="W4" s="102">
        <v>53.5</v>
      </c>
    </row>
    <row r="5" spans="1:33" s="9" customFormat="1" ht="20.25" customHeight="1" x14ac:dyDescent="0.2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</row>
    <row r="6" spans="1:33" s="9" customFormat="1" ht="20.2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33" s="9" customFormat="1" ht="20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ht="19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">
    <cfRule type="cellIs" dxfId="100" priority="9" operator="lessThan">
      <formula>20</formula>
    </cfRule>
  </conditionalFormatting>
  <conditionalFormatting sqref="D4">
    <cfRule type="cellIs" dxfId="99" priority="8" operator="lessThan">
      <formula>5</formula>
    </cfRule>
  </conditionalFormatting>
  <conditionalFormatting sqref="E4">
    <cfRule type="cellIs" dxfId="98" priority="7" operator="lessThan">
      <formula>10</formula>
    </cfRule>
  </conditionalFormatting>
  <conditionalFormatting sqref="F4">
    <cfRule type="cellIs" dxfId="97" priority="6" operator="lessThan">
      <formula>5</formula>
    </cfRule>
  </conditionalFormatting>
  <conditionalFormatting sqref="G4:L4">
    <cfRule type="cellIs" dxfId="96" priority="5" operator="lessThan">
      <formula>5</formula>
    </cfRule>
  </conditionalFormatting>
  <conditionalFormatting sqref="M4">
    <cfRule type="cellIs" dxfId="95" priority="4" operator="lessThan">
      <formula>15</formula>
    </cfRule>
  </conditionalFormatting>
  <conditionalFormatting sqref="N4">
    <cfRule type="cellIs" dxfId="94" priority="3" operator="lessThan">
      <formula>35</formula>
    </cfRule>
  </conditionalFormatting>
  <conditionalFormatting sqref="O4:V4">
    <cfRule type="cellIs" dxfId="93" priority="2" operator="lessThan">
      <formula>10</formula>
    </cfRule>
  </conditionalFormatting>
  <conditionalFormatting sqref="W4">
    <cfRule type="cellIs" dxfId="92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7030A0"/>
    <pageSetUpPr fitToPage="1"/>
  </sheetPr>
  <dimension ref="A1:AG38"/>
  <sheetViews>
    <sheetView showZeros="0" zoomScaleNormal="100" workbookViewId="0">
      <selection activeCell="B2" sqref="B2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21"/>
      <c r="B1" s="235" t="s">
        <v>138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21"/>
      <c r="B2" s="21"/>
      <c r="C2" s="14" t="s">
        <v>39</v>
      </c>
      <c r="D2" s="14" t="s">
        <v>40</v>
      </c>
      <c r="E2" s="14" t="s">
        <v>41</v>
      </c>
      <c r="F2" s="14" t="s">
        <v>74</v>
      </c>
      <c r="G2" s="14" t="s">
        <v>44</v>
      </c>
      <c r="H2" s="14" t="s">
        <v>75</v>
      </c>
      <c r="I2" s="14" t="s">
        <v>46</v>
      </c>
      <c r="J2" s="14" t="s">
        <v>48</v>
      </c>
      <c r="K2" s="14" t="s">
        <v>49</v>
      </c>
      <c r="L2" s="15" t="s">
        <v>76</v>
      </c>
      <c r="M2" s="15" t="s">
        <v>52</v>
      </c>
      <c r="N2" s="15" t="s">
        <v>20</v>
      </c>
      <c r="O2" s="15" t="s">
        <v>77</v>
      </c>
      <c r="P2" s="15" t="s">
        <v>78</v>
      </c>
      <c r="Q2" s="15" t="s">
        <v>79</v>
      </c>
      <c r="R2" s="15" t="s">
        <v>55</v>
      </c>
      <c r="S2" s="15" t="s">
        <v>56</v>
      </c>
      <c r="T2" s="15" t="s">
        <v>60</v>
      </c>
      <c r="U2" s="15" t="s">
        <v>61</v>
      </c>
      <c r="V2" s="15" t="s">
        <v>63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20.25" customHeight="1" thickBot="1" x14ac:dyDescent="0.35">
      <c r="A3" s="18" t="s">
        <v>10</v>
      </c>
      <c r="B3" s="16" t="s">
        <v>9</v>
      </c>
      <c r="C3" s="101" t="s">
        <v>94</v>
      </c>
      <c r="D3" s="101" t="s">
        <v>95</v>
      </c>
      <c r="E3" s="101" t="s">
        <v>96</v>
      </c>
      <c r="F3" s="101" t="s">
        <v>97</v>
      </c>
      <c r="G3" s="101" t="s">
        <v>98</v>
      </c>
      <c r="H3" s="101" t="s">
        <v>99</v>
      </c>
      <c r="I3" s="101" t="s">
        <v>100</v>
      </c>
      <c r="J3" s="101" t="s">
        <v>101</v>
      </c>
      <c r="K3" s="101" t="s">
        <v>102</v>
      </c>
      <c r="L3" s="101" t="s">
        <v>103</v>
      </c>
      <c r="M3" s="101" t="s">
        <v>104</v>
      </c>
      <c r="N3" s="101" t="s">
        <v>105</v>
      </c>
      <c r="O3" s="101" t="s">
        <v>113</v>
      </c>
      <c r="P3" s="101" t="s">
        <v>115</v>
      </c>
      <c r="Q3" s="101" t="s">
        <v>116</v>
      </c>
      <c r="R3" s="101" t="s">
        <v>117</v>
      </c>
      <c r="S3" s="101" t="s">
        <v>106</v>
      </c>
      <c r="T3" s="101" t="s">
        <v>118</v>
      </c>
      <c r="U3" s="101" t="s">
        <v>119</v>
      </c>
      <c r="V3" s="101" t="s">
        <v>120</v>
      </c>
      <c r="W3" s="101" t="s">
        <v>114</v>
      </c>
    </row>
    <row r="4" spans="1:33" s="9" customFormat="1" ht="20.25" customHeight="1" thickBot="1" x14ac:dyDescent="0.35">
      <c r="A4" s="19" t="s">
        <v>83</v>
      </c>
      <c r="B4" s="19" t="s">
        <v>84</v>
      </c>
      <c r="C4" s="101">
        <v>19</v>
      </c>
      <c r="D4" s="102">
        <v>4</v>
      </c>
      <c r="E4" s="102">
        <v>9</v>
      </c>
      <c r="F4" s="102">
        <v>4</v>
      </c>
      <c r="G4" s="102">
        <v>10</v>
      </c>
      <c r="H4" s="102">
        <v>5</v>
      </c>
      <c r="I4" s="102">
        <v>10</v>
      </c>
      <c r="J4" s="102">
        <v>10</v>
      </c>
      <c r="K4" s="102">
        <v>5</v>
      </c>
      <c r="L4" s="102">
        <v>7</v>
      </c>
      <c r="M4" s="102">
        <v>15</v>
      </c>
      <c r="N4" s="102">
        <v>20</v>
      </c>
      <c r="O4" s="102">
        <v>11</v>
      </c>
      <c r="P4" s="102">
        <v>12</v>
      </c>
      <c r="Q4" s="102">
        <v>15</v>
      </c>
      <c r="R4" s="102">
        <v>18</v>
      </c>
      <c r="S4" s="102">
        <v>9</v>
      </c>
      <c r="T4" s="102">
        <v>11</v>
      </c>
      <c r="U4" s="102">
        <v>11</v>
      </c>
      <c r="V4" s="102">
        <v>9</v>
      </c>
      <c r="W4" s="102">
        <v>53.5</v>
      </c>
    </row>
    <row r="5" spans="1:33" s="9" customFormat="1" ht="20.25" customHeight="1" x14ac:dyDescent="0.2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</row>
    <row r="6" spans="1:33" s="9" customFormat="1" ht="20.2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33" s="9" customFormat="1" ht="20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ht="19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">
    <cfRule type="cellIs" dxfId="66" priority="9" operator="lessThan">
      <formula>20</formula>
    </cfRule>
  </conditionalFormatting>
  <conditionalFormatting sqref="D4">
    <cfRule type="cellIs" dxfId="65" priority="8" operator="lessThan">
      <formula>5</formula>
    </cfRule>
  </conditionalFormatting>
  <conditionalFormatting sqref="E4">
    <cfRule type="cellIs" dxfId="64" priority="7" operator="lessThan">
      <formula>10</formula>
    </cfRule>
  </conditionalFormatting>
  <conditionalFormatting sqref="F4">
    <cfRule type="cellIs" dxfId="63" priority="6" operator="lessThan">
      <formula>5</formula>
    </cfRule>
  </conditionalFormatting>
  <conditionalFormatting sqref="G4:L4">
    <cfRule type="cellIs" dxfId="62" priority="5" operator="lessThan">
      <formula>5</formula>
    </cfRule>
  </conditionalFormatting>
  <conditionalFormatting sqref="M4">
    <cfRule type="cellIs" dxfId="61" priority="4" operator="lessThan">
      <formula>15</formula>
    </cfRule>
  </conditionalFormatting>
  <conditionalFormatting sqref="N4">
    <cfRule type="cellIs" dxfId="60" priority="3" operator="lessThan">
      <formula>35</formula>
    </cfRule>
  </conditionalFormatting>
  <conditionalFormatting sqref="O4:V4">
    <cfRule type="cellIs" dxfId="59" priority="2" operator="lessThan">
      <formula>10</formula>
    </cfRule>
  </conditionalFormatting>
  <conditionalFormatting sqref="W4">
    <cfRule type="cellIs" dxfId="58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7030A0"/>
    <pageSetUpPr fitToPage="1"/>
  </sheetPr>
  <dimension ref="A1:AG38"/>
  <sheetViews>
    <sheetView showZeros="0" zoomScaleNormal="100" workbookViewId="0">
      <selection activeCell="Y2" sqref="Y2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21"/>
      <c r="B1" s="235" t="s">
        <v>136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21"/>
      <c r="B2" s="21"/>
      <c r="C2" s="14" t="s">
        <v>39</v>
      </c>
      <c r="D2" s="14" t="s">
        <v>40</v>
      </c>
      <c r="E2" s="14" t="s">
        <v>41</v>
      </c>
      <c r="F2" s="14" t="s">
        <v>74</v>
      </c>
      <c r="G2" s="14" t="s">
        <v>44</v>
      </c>
      <c r="H2" s="14" t="s">
        <v>75</v>
      </c>
      <c r="I2" s="14" t="s">
        <v>46</v>
      </c>
      <c r="J2" s="14" t="s">
        <v>48</v>
      </c>
      <c r="K2" s="14" t="s">
        <v>49</v>
      </c>
      <c r="L2" s="15" t="s">
        <v>76</v>
      </c>
      <c r="M2" s="15" t="s">
        <v>52</v>
      </c>
      <c r="N2" s="15" t="s">
        <v>20</v>
      </c>
      <c r="O2" s="15" t="s">
        <v>77</v>
      </c>
      <c r="P2" s="15" t="s">
        <v>78</v>
      </c>
      <c r="Q2" s="15" t="s">
        <v>79</v>
      </c>
      <c r="R2" s="15" t="s">
        <v>55</v>
      </c>
      <c r="S2" s="15" t="s">
        <v>56</v>
      </c>
      <c r="T2" s="15" t="s">
        <v>60</v>
      </c>
      <c r="U2" s="15" t="s">
        <v>61</v>
      </c>
      <c r="V2" s="15" t="s">
        <v>63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17.25" thickBot="1" x14ac:dyDescent="0.35">
      <c r="A3" s="18" t="s">
        <v>10</v>
      </c>
      <c r="B3" s="16" t="s">
        <v>9</v>
      </c>
      <c r="C3" s="101" t="s">
        <v>123</v>
      </c>
      <c r="D3" s="102" t="s">
        <v>96</v>
      </c>
      <c r="E3" s="102" t="s">
        <v>94</v>
      </c>
      <c r="F3" s="102" t="s">
        <v>106</v>
      </c>
      <c r="G3" s="102" t="s">
        <v>107</v>
      </c>
      <c r="H3" s="102" t="s">
        <v>108</v>
      </c>
      <c r="I3" s="102" t="s">
        <v>109</v>
      </c>
      <c r="J3" s="102" t="s">
        <v>110</v>
      </c>
      <c r="K3" s="102" t="s">
        <v>111</v>
      </c>
      <c r="L3" s="102" t="s">
        <v>112</v>
      </c>
      <c r="M3" s="102" t="s">
        <v>124</v>
      </c>
      <c r="N3" s="102" t="s">
        <v>125</v>
      </c>
      <c r="O3" s="102" t="s">
        <v>126</v>
      </c>
      <c r="P3" s="102" t="s">
        <v>127</v>
      </c>
      <c r="Q3" s="102" t="s">
        <v>128</v>
      </c>
      <c r="R3" s="102" t="s">
        <v>129</v>
      </c>
      <c r="S3" s="102" t="s">
        <v>130</v>
      </c>
      <c r="T3" s="102" t="s">
        <v>131</v>
      </c>
      <c r="U3" s="102" t="s">
        <v>132</v>
      </c>
      <c r="V3" s="102" t="s">
        <v>133</v>
      </c>
      <c r="W3" s="102" t="s">
        <v>114</v>
      </c>
    </row>
    <row r="4" spans="1:33" s="9" customFormat="1" ht="17.25" thickBot="1" x14ac:dyDescent="0.35">
      <c r="A4" s="19" t="s">
        <v>87</v>
      </c>
      <c r="B4" s="19" t="s">
        <v>18</v>
      </c>
      <c r="C4" s="101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42"/>
      <c r="O4" s="102"/>
      <c r="P4" s="102"/>
      <c r="Q4" s="102"/>
      <c r="R4" s="102"/>
      <c r="S4" s="102">
        <v>11</v>
      </c>
      <c r="T4" s="102">
        <v>20</v>
      </c>
      <c r="U4" s="102">
        <v>12</v>
      </c>
      <c r="V4" s="102"/>
      <c r="W4" s="102">
        <v>5.4</v>
      </c>
    </row>
    <row r="5" spans="1:33" s="9" customFormat="1" ht="17.25" thickBot="1" x14ac:dyDescent="0.35">
      <c r="A5" s="19" t="s">
        <v>85</v>
      </c>
      <c r="B5" s="19" t="s">
        <v>86</v>
      </c>
      <c r="C5" s="101">
        <v>45</v>
      </c>
      <c r="D5" s="102">
        <v>10</v>
      </c>
      <c r="E5" s="102">
        <v>19</v>
      </c>
      <c r="F5" s="102">
        <v>5</v>
      </c>
      <c r="G5" s="102">
        <v>9</v>
      </c>
      <c r="H5" s="102">
        <v>9</v>
      </c>
      <c r="I5" s="102">
        <v>4</v>
      </c>
      <c r="J5" s="102">
        <v>21</v>
      </c>
      <c r="K5" s="102">
        <v>19</v>
      </c>
      <c r="L5" s="102">
        <v>9</v>
      </c>
      <c r="M5" s="102">
        <v>61</v>
      </c>
      <c r="N5" s="142">
        <v>141</v>
      </c>
      <c r="O5" s="102">
        <v>41</v>
      </c>
      <c r="P5" s="102">
        <v>19</v>
      </c>
      <c r="Q5" s="102">
        <v>41</v>
      </c>
      <c r="R5" s="102">
        <v>19</v>
      </c>
      <c r="S5" s="102">
        <v>19</v>
      </c>
      <c r="T5" s="102">
        <v>47</v>
      </c>
      <c r="U5" s="102">
        <v>41</v>
      </c>
      <c r="V5" s="102">
        <v>41</v>
      </c>
      <c r="W5" s="102">
        <v>77.5</v>
      </c>
    </row>
    <row r="6" spans="1:33" s="9" customFormat="1" x14ac:dyDescent="0.25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</row>
    <row r="7" spans="1:33" s="9" customForma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:C5">
    <cfRule type="cellIs" dxfId="32" priority="8" operator="lessThan">
      <formula>40</formula>
    </cfRule>
  </conditionalFormatting>
  <conditionalFormatting sqref="D4:D5">
    <cfRule type="cellIs" dxfId="31" priority="7" operator="lessThan">
      <formula>10</formula>
    </cfRule>
  </conditionalFormatting>
  <conditionalFormatting sqref="E4:E5">
    <cfRule type="cellIs" dxfId="30" priority="6" operator="lessThan">
      <formula>20</formula>
    </cfRule>
  </conditionalFormatting>
  <conditionalFormatting sqref="F4:L5">
    <cfRule type="cellIs" dxfId="29" priority="5" operator="lessThan">
      <formula>10</formula>
    </cfRule>
  </conditionalFormatting>
  <conditionalFormatting sqref="M4:M5">
    <cfRule type="cellIs" dxfId="28" priority="4" operator="lessThan">
      <formula>30</formula>
    </cfRule>
  </conditionalFormatting>
  <conditionalFormatting sqref="N4:N5">
    <cfRule type="cellIs" dxfId="27" priority="3" operator="lessThan">
      <formula>70</formula>
    </cfRule>
  </conditionalFormatting>
  <conditionalFormatting sqref="O4:V5">
    <cfRule type="cellIs" dxfId="26" priority="2" operator="lessThan">
      <formula>20</formula>
    </cfRule>
  </conditionalFormatting>
  <conditionalFormatting sqref="W4:W5">
    <cfRule type="cellIs" dxfId="25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ED3B7-BCFD-4A98-9D16-69DBA1EDE2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BLL</vt:lpstr>
      <vt:lpstr>BD</vt:lpstr>
      <vt:lpstr>CLS</vt:lpstr>
      <vt:lpstr>PLM</vt:lpstr>
      <vt:lpstr>Gr1P</vt:lpstr>
      <vt:lpstr>Gr2P</vt:lpstr>
      <vt:lpstr>GrEXM1S</vt:lpstr>
      <vt:lpstr>Gr3P </vt:lpstr>
      <vt:lpstr>Gr4P</vt:lpstr>
      <vt:lpstr>GrEXM2S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B_Madu</dc:creator>
  <cp:lastModifiedBy>Ben_Kum's</cp:lastModifiedBy>
  <cp:lastPrinted>2021-03-20T06:59:52Z</cp:lastPrinted>
  <dcterms:created xsi:type="dcterms:W3CDTF">2019-12-12T07:48:50Z</dcterms:created>
  <dcterms:modified xsi:type="dcterms:W3CDTF">2021-03-20T07:25:09Z</dcterms:modified>
</cp:coreProperties>
</file>