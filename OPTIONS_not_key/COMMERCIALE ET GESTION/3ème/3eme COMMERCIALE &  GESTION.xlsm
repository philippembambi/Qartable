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COMMERCIALE ET GESTION\3ème\"/>
    </mc:Choice>
  </mc:AlternateContent>
  <bookViews>
    <workbookView xWindow="-120" yWindow="-120" windowWidth="20730" windowHeight="11310" activeTab="4"/>
  </bookViews>
  <sheets>
    <sheet name="BLL" sheetId="2" r:id="rId1"/>
    <sheet name="BD" sheetId="3" r:id="rId2"/>
    <sheet name="CLS" sheetId="6" r:id="rId3"/>
    <sheet name="GrEXM2S" sheetId="16" r:id="rId4"/>
    <sheet name="GrEXM1S" sheetId="13" r:id="rId5"/>
    <sheet name="Gr2P" sheetId="12" r:id="rId6"/>
    <sheet name="Gr4P" sheetId="15" r:id="rId7"/>
    <sheet name="Gr3P" sheetId="14" r:id="rId8"/>
    <sheet name="Gr1P" sheetId="11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7" i="5" l="1"/>
  <c r="I10" i="5"/>
  <c r="I9" i="5"/>
  <c r="I6" i="5"/>
  <c r="F5" i="5"/>
  <c r="I5" i="5"/>
  <c r="I3" i="5"/>
  <c r="I14" i="5" s="1"/>
  <c r="H3" i="5"/>
  <c r="I13" i="5" l="1"/>
  <c r="H46" i="2"/>
  <c r="J43" i="2" l="1"/>
  <c r="F43" i="2"/>
  <c r="J41" i="2"/>
  <c r="F41" i="2"/>
  <c r="K41" i="2" s="1"/>
  <c r="J39" i="2"/>
  <c r="J38" i="2"/>
  <c r="F39" i="2"/>
  <c r="F38" i="2"/>
  <c r="J36" i="2"/>
  <c r="F36" i="2"/>
  <c r="J30" i="2"/>
  <c r="J31" i="2"/>
  <c r="J32" i="2"/>
  <c r="J33" i="2"/>
  <c r="J34" i="2"/>
  <c r="J29" i="2"/>
  <c r="F30" i="2"/>
  <c r="F31" i="2"/>
  <c r="F32" i="2"/>
  <c r="F33" i="2"/>
  <c r="F34" i="2"/>
  <c r="K34" i="2" s="1"/>
  <c r="F29" i="2"/>
  <c r="J27" i="2"/>
  <c r="F27" i="2"/>
  <c r="K27" i="2" s="1"/>
  <c r="J19" i="2"/>
  <c r="J20" i="2"/>
  <c r="J21" i="2"/>
  <c r="J22" i="2"/>
  <c r="J23" i="2"/>
  <c r="J24" i="2"/>
  <c r="J25" i="2"/>
  <c r="J18" i="2"/>
  <c r="F19" i="2"/>
  <c r="K19" i="2" s="1"/>
  <c r="F20" i="2"/>
  <c r="K20" i="2" s="1"/>
  <c r="F21" i="2"/>
  <c r="K21" i="2" s="1"/>
  <c r="F22" i="2"/>
  <c r="K22" i="2" s="1"/>
  <c r="F23" i="2"/>
  <c r="K23" i="2" s="1"/>
  <c r="F24" i="2"/>
  <c r="K24" i="2" s="1"/>
  <c r="F25" i="2"/>
  <c r="K25" i="2" s="1"/>
  <c r="F18" i="2"/>
  <c r="I45" i="2"/>
  <c r="H45" i="2"/>
  <c r="G45" i="2"/>
  <c r="E45" i="2"/>
  <c r="D45" i="2"/>
  <c r="C45" i="2"/>
  <c r="K30" i="2" l="1"/>
  <c r="K38" i="2"/>
  <c r="K39" i="2"/>
  <c r="K33" i="2"/>
  <c r="K32" i="2"/>
  <c r="J45" i="2"/>
  <c r="K36" i="2"/>
  <c r="K43" i="2"/>
  <c r="K29" i="2"/>
  <c r="K31" i="2"/>
  <c r="F45" i="2"/>
  <c r="K18" i="2"/>
  <c r="B10" i="6"/>
  <c r="K45" i="2" l="1"/>
  <c r="B8" i="6"/>
  <c r="B12" i="6" l="1"/>
  <c r="I46" i="2" l="1"/>
  <c r="G46" i="2"/>
  <c r="E46" i="2"/>
  <c r="D46" i="2"/>
  <c r="C46" i="2"/>
  <c r="K42" i="2" l="1"/>
  <c r="F46" i="2" l="1"/>
  <c r="J46" i="2" l="1"/>
  <c r="K46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<sst xmlns="http://schemas.openxmlformats.org/spreadsheetml/2006/main" count="504" uniqueCount="216">
  <si>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</si>
  <si>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</si>
  <si>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</si>
  <si>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</si>
  <si>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</si>
  <si>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</si>
  <si>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</si>
  <si>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</si>
  <si>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</si>
  <si>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</si>
  <si>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</si>
  <si>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</si>
  <si>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</si>
  <si>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</si>
  <si>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</si>
  <si>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</si>
  <si>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</si>
  <si>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</si>
  <si>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</si>
  <si>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</si>
  <si>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</si>
  <si>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</si>
  <si>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SAKATA</t>
  </si>
  <si>
    <t>F</t>
  </si>
  <si>
    <t>BEDI</t>
  </si>
  <si>
    <t>MALANGU</t>
  </si>
  <si>
    <t>SANDRINE</t>
  </si>
  <si>
    <t>MADOU</t>
  </si>
  <si>
    <t>ARCHIMENE</t>
  </si>
  <si>
    <t>BANGA</t>
  </si>
  <si>
    <t>DAWILI</t>
  </si>
  <si>
    <t>MOKE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</si>
  <si>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</si>
  <si>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</si>
  <si>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</si>
  <si>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</si>
  <si>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BARUME</t>
  </si>
  <si>
    <t>IRANGI</t>
  </si>
  <si>
    <t>BAYAKIBISA</t>
  </si>
  <si>
    <t>DIAKIESE</t>
  </si>
  <si>
    <t>MAYELE</t>
  </si>
  <si>
    <t>BISALU</t>
  </si>
  <si>
    <t>ZOLA</t>
  </si>
  <si>
    <t>BITOTA</t>
  </si>
  <si>
    <t>LUKUSA</t>
  </si>
  <si>
    <t>KABUYA</t>
  </si>
  <si>
    <t>KAPINGA</t>
  </si>
  <si>
    <t>MAKANDA</t>
  </si>
  <si>
    <t>MAKIESE</t>
  </si>
  <si>
    <t>MUTOMBO</t>
  </si>
  <si>
    <t>MBOMBO</t>
  </si>
  <si>
    <t>MPUTU</t>
  </si>
  <si>
    <t>NTUMBA</t>
  </si>
  <si>
    <t>MABIALA</t>
  </si>
  <si>
    <t>BULALU</t>
  </si>
  <si>
    <t>NGOYI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</si>
  <si>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</si>
  <si>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</si>
  <si>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</si>
  <si>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</si>
  <si>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</si>
  <si>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</si>
  <si>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</si>
  <si>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</si>
  <si>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</si>
  <si>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</si>
  <si>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</si>
  <si>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Informatique</t>
  </si>
  <si>
    <t>Anglais</t>
  </si>
  <si>
    <t xml:space="preserve">Pratique professionnelle </t>
  </si>
  <si>
    <t>Droit</t>
  </si>
  <si>
    <t>Ed. Civ. &amp; Morale</t>
  </si>
  <si>
    <t>Géographie économique</t>
  </si>
  <si>
    <t>Correspondance com. Angl.</t>
  </si>
  <si>
    <t>Correspondance com. Franc.</t>
  </si>
  <si>
    <t>Fiscalité</t>
  </si>
  <si>
    <t>Mathématiques financières</t>
  </si>
  <si>
    <t>Mathématiques Générales</t>
  </si>
  <si>
    <t>Activités compl.(Visites guidées)</t>
  </si>
  <si>
    <t>Comptabilité Générale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</si>
  <si>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</si>
  <si>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Français</t>
  </si>
  <si>
    <t>Opérations des banques et des crédits</t>
  </si>
  <si>
    <t>Entreprenariat</t>
  </si>
  <si>
    <t>Economie politique</t>
  </si>
  <si>
    <t>GRILLE DES COTES PREMIERE PERIODE</t>
  </si>
  <si>
    <t>Religion</t>
  </si>
  <si>
    <t>Education à la vie</t>
  </si>
  <si>
    <t>Ed. civ. &amp; morale</t>
  </si>
  <si>
    <t>Géographie éco.</t>
  </si>
  <si>
    <t>Corresp. Com. Angl</t>
  </si>
  <si>
    <t>Activité compl.</t>
  </si>
  <si>
    <t>Pratique d'enseign.</t>
  </si>
  <si>
    <t>;2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</si>
  <si>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</si>
  <si>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</si>
  <si>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</si>
  <si>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</si>
  <si>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</si>
  <si>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</si>
  <si>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</si>
  <si>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</si>
  <si>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</si>
  <si>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</si>
  <si>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</si>
  <si>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</si>
  <si>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;19</t>
  </si>
  <si>
    <t>;21</t>
  </si>
  <si>
    <t>;72</t>
  </si>
  <si>
    <t>;73</t>
  </si>
  <si>
    <t>;74</t>
  </si>
  <si>
    <t>Math. Financière</t>
  </si>
  <si>
    <t>Opération des banques</t>
  </si>
  <si>
    <t>;75</t>
  </si>
  <si>
    <t>;76</t>
  </si>
  <si>
    <t>;77</t>
  </si>
  <si>
    <t>Math. Générale</t>
  </si>
  <si>
    <t>Corresp. Com. Fr</t>
  </si>
  <si>
    <t>Entreprenariar</t>
  </si>
  <si>
    <t>Frnaçais</t>
  </si>
  <si>
    <t>Comp. Générale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</si>
  <si>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</si>
  <si>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</si>
  <si>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</si>
  <si>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</si>
  <si>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</si>
  <si>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</si>
  <si>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</si>
  <si>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DEUXIEME SEMESTRE</t>
  </si>
  <si>
    <t>GRILLE DES COTES EXAMEN PREMIER SEMESTRE</t>
  </si>
  <si>
    <t>GRILLE DES COTES DEUXIEME PERIODE</t>
  </si>
  <si>
    <t>GRILLE DES COTES QUATRIEME PERIODE</t>
  </si>
  <si>
    <t>GRILLE DES COTES TROISIEME PERIODE</t>
  </si>
  <si>
    <t>AWOLO</t>
  </si>
  <si>
    <t>MAKANGA</t>
  </si>
  <si>
    <t>BAMBI</t>
  </si>
  <si>
    <t>BUKASA</t>
  </si>
  <si>
    <t>BELESI</t>
  </si>
  <si>
    <t>NSUMBU</t>
  </si>
  <si>
    <t>BILONDA</t>
  </si>
  <si>
    <t>MUKOKA</t>
  </si>
  <si>
    <t>BOKIA</t>
  </si>
  <si>
    <t>VUMILIYA</t>
  </si>
  <si>
    <t>BOLAMBA</t>
  </si>
  <si>
    <t>BONKANDI</t>
  </si>
  <si>
    <t>BOWE</t>
  </si>
  <si>
    <t>OWE</t>
  </si>
  <si>
    <t>KERENE</t>
  </si>
  <si>
    <t>BEME</t>
  </si>
  <si>
    <t>KALONDA</t>
  </si>
  <si>
    <t>EKILA</t>
  </si>
  <si>
    <t>SENGA</t>
  </si>
  <si>
    <t>EKOKO</t>
  </si>
  <si>
    <t>MUNINGU</t>
  </si>
  <si>
    <t>EKUMBAKI</t>
  </si>
  <si>
    <t>ASANGA</t>
  </si>
  <si>
    <t>GAFUTSHI</t>
  </si>
  <si>
    <t>MUSONGO</t>
  </si>
  <si>
    <t>ISENGOLA</t>
  </si>
  <si>
    <t>IFENDELA</t>
  </si>
  <si>
    <t>KABADI</t>
  </si>
  <si>
    <t>MULANGA</t>
  </si>
  <si>
    <t>KABANGA</t>
  </si>
  <si>
    <t>KABEDI</t>
  </si>
  <si>
    <t>ZELIA</t>
  </si>
  <si>
    <t>KALUBI</t>
  </si>
  <si>
    <t>MAYITU</t>
  </si>
  <si>
    <t>KALUISHA</t>
  </si>
  <si>
    <t>KANAN</t>
  </si>
  <si>
    <t>RUCHIND</t>
  </si>
  <si>
    <t>KATAWANZA</t>
  </si>
  <si>
    <t>YOUNI</t>
  </si>
  <si>
    <t>KINDUKUMENE</t>
  </si>
  <si>
    <t>NIPOY</t>
  </si>
  <si>
    <t>KINUANI</t>
  </si>
  <si>
    <t>NZENGO</t>
  </si>
  <si>
    <t>KITOKO</t>
  </si>
  <si>
    <t>MAYINGA</t>
  </si>
  <si>
    <t>LIENGO</t>
  </si>
  <si>
    <t>MUSAFIRI</t>
  </si>
  <si>
    <t>LIGBONGO</t>
  </si>
  <si>
    <t>ZINGHAT</t>
  </si>
  <si>
    <t>BONGO</t>
  </si>
  <si>
    <t>MAKIONA</t>
  </si>
  <si>
    <t>DISSASI</t>
  </si>
  <si>
    <t>MALANGI</t>
  </si>
  <si>
    <t>MUWANIKA</t>
  </si>
  <si>
    <t>MALWANO</t>
  </si>
  <si>
    <t>MESSA</t>
  </si>
  <si>
    <t>MBOLONGO</t>
  </si>
  <si>
    <t>YAOLEMA</t>
  </si>
  <si>
    <t>MBULA</t>
  </si>
  <si>
    <t>MBUMA</t>
  </si>
  <si>
    <t>SONA</t>
  </si>
  <si>
    <t>MOKELEMBO</t>
  </si>
  <si>
    <t>MBWALA</t>
  </si>
  <si>
    <t>MOLALA</t>
  </si>
  <si>
    <t>MPOKO</t>
  </si>
  <si>
    <t>METELO</t>
  </si>
  <si>
    <t>MUDIBWA</t>
  </si>
  <si>
    <t>MUKONKOLE</t>
  </si>
  <si>
    <t>KALANDA</t>
  </si>
  <si>
    <t>NGENIBUNGI</t>
  </si>
  <si>
    <t>NGOMBE</t>
  </si>
  <si>
    <t>TSHIPUMBA</t>
  </si>
  <si>
    <t>NKUSU</t>
  </si>
  <si>
    <t>NGOY</t>
  </si>
  <si>
    <t>TSHILOMBA</t>
  </si>
  <si>
    <t>WESILA</t>
  </si>
  <si>
    <t>KIESE</t>
  </si>
  <si>
    <t>YAKANZA</t>
  </si>
  <si>
    <t>KOMATO</t>
  </si>
  <si>
    <t>YATSHAOYA</t>
  </si>
  <si>
    <t>KOMANDA</t>
  </si>
  <si>
    <t>YOWA</t>
  </si>
  <si>
    <t>LUPAJI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</si>
</sst>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FF0000"/>
      <name val="Bell MT"/>
      <family val="1"/>
    </font>
    <font>
      <b/>
      <sz val="12"/>
      <color theme="0"/>
      <name val="Bell MT"/>
      <family val="1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7" fillId="9" borderId="0" applyNumberFormat="0" applyBorder="0" applyAlignment="0" applyProtection="0"/>
  </cellStyleXfs>
  <cellXfs count="143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0" fillId="8" borderId="24" xfId="0" applyFill="1" applyBorder="1"/>
    <xf numFmtId="0" fontId="0" fillId="8" borderId="14" xfId="0" applyFill="1" applyBorder="1"/>
    <xf numFmtId="0" fontId="0" fillId="0" borderId="25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1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12" fillId="0" borderId="0" xfId="0" applyFont="1" applyAlignment="1">
      <alignment horizontal="center"/>
    </xf>
    <xf numFmtId="0" fontId="33" fillId="0" borderId="5" xfId="0" applyFont="1" applyBorder="1"/>
    <xf numFmtId="0" fontId="36" fillId="0" borderId="0" xfId="0" applyFont="1" applyAlignment="1"/>
    <xf numFmtId="0" fontId="35" fillId="0" borderId="26" xfId="0" applyFont="1" applyBorder="1" applyAlignment="1">
      <alignment horizontal="center" textRotation="90"/>
    </xf>
    <xf numFmtId="0" fontId="35" fillId="0" borderId="26" xfId="0" applyFont="1" applyBorder="1" applyAlignment="1">
      <alignment textRotation="90"/>
    </xf>
    <xf numFmtId="0" fontId="35" fillId="0" borderId="27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4" fillId="0" borderId="29" xfId="0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30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12" fillId="0" borderId="31" xfId="0" applyFont="1" applyBorder="1"/>
    <xf numFmtId="0" fontId="38" fillId="0" borderId="0" xfId="0" applyFont="1"/>
    <xf numFmtId="0" fontId="12" fillId="0" borderId="32" xfId="0" applyFont="1" applyBorder="1"/>
    <xf numFmtId="0" fontId="12" fillId="0" borderId="33" xfId="0" applyFont="1" applyBorder="1"/>
    <xf numFmtId="0" fontId="12" fillId="0" borderId="34" xfId="0" applyFont="1" applyBorder="1"/>
    <xf numFmtId="0" fontId="12" fillId="0" borderId="33" xfId="0" applyNumberFormat="1" applyFont="1" applyBorder="1"/>
    <xf numFmtId="0" fontId="40" fillId="0" borderId="35" xfId="0" applyFont="1" applyBorder="1"/>
    <xf numFmtId="0" fontId="12" fillId="0" borderId="36" xfId="0" applyFont="1" applyBorder="1"/>
    <xf numFmtId="0" fontId="40" fillId="0" borderId="37" xfId="0" applyFont="1" applyBorder="1"/>
    <xf numFmtId="0" fontId="12" fillId="0" borderId="38" xfId="0" applyFont="1" applyBorder="1"/>
    <xf numFmtId="0" fontId="12" fillId="0" borderId="0" xfId="0" applyFont="1" applyBorder="1"/>
    <xf numFmtId="0" fontId="38" fillId="0" borderId="35" xfId="0" applyFont="1" applyBorder="1" applyProtection="1"/>
    <xf numFmtId="0" fontId="40" fillId="0" borderId="0" xfId="0" applyFont="1" applyBorder="1"/>
    <xf numFmtId="0" fontId="12" fillId="0" borderId="39" xfId="0" applyFont="1" applyBorder="1"/>
    <xf numFmtId="0" fontId="40" fillId="0" borderId="40" xfId="0" applyFont="1" applyBorder="1"/>
    <xf numFmtId="0" fontId="12" fillId="0" borderId="41" xfId="0" applyFont="1" applyBorder="1"/>
    <xf numFmtId="0" fontId="12" fillId="0" borderId="37" xfId="0" applyFont="1" applyBorder="1"/>
    <xf numFmtId="0" fontId="12" fillId="0" borderId="35" xfId="0" applyFont="1" applyBorder="1"/>
    <xf numFmtId="0" fontId="30" fillId="0" borderId="12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2" fillId="0" borderId="14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2" fillId="0" borderId="12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0" fontId="15" fillId="3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9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AF-4FDA-B31D-2AD4F4D698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AF-4FDA-B31D-2AD4F4D698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AF-4FDA-B31D-2AD4F4D6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57151</xdr:colOff>
      <xdr:row>13</xdr:row>
      <xdr:rowOff>38100</xdr:rowOff>
    </xdr:from>
    <xdr:to>
      <xdr:col>13</xdr:col>
      <xdr:colOff>733425</xdr:colOff>
      <xdr:row>14</xdr:row>
      <xdr:rowOff>123825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29276" y="2705100"/>
          <a:ext cx="108584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14</xdr:row>
      <xdr:rowOff>66676</xdr:rowOff>
    </xdr:from>
    <xdr:to>
      <xdr:col>13</xdr:col>
      <xdr:colOff>704851</xdr:colOff>
      <xdr:row>14</xdr:row>
      <xdr:rowOff>228600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38802" y="2895601"/>
          <a:ext cx="1047749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44</xdr:row>
      <xdr:rowOff>1</xdr:rowOff>
    </xdr:from>
    <xdr:to>
      <xdr:col>14</xdr:col>
      <xdr:colOff>0</xdr:colOff>
      <xdr:row>50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3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COMMERCIALE &amp; GESTION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5970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69329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50</xdr:row>
      <xdr:rowOff>9525</xdr:rowOff>
    </xdr:from>
    <xdr:to>
      <xdr:col>14</xdr:col>
      <xdr:colOff>0</xdr:colOff>
      <xdr:row>58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46</xdr:row>
      <xdr:rowOff>19050</xdr:rowOff>
    </xdr:from>
    <xdr:to>
      <xdr:col>3</xdr:col>
      <xdr:colOff>238125</xdr:colOff>
      <xdr:row>46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46</xdr:row>
      <xdr:rowOff>9525</xdr:rowOff>
    </xdr:from>
    <xdr:to>
      <xdr:col>2</xdr:col>
      <xdr:colOff>219075</xdr:colOff>
      <xdr:row>46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46</xdr:row>
      <xdr:rowOff>19050</xdr:rowOff>
    </xdr:from>
    <xdr:to>
      <xdr:col>6</xdr:col>
      <xdr:colOff>228600</xdr:colOff>
      <xdr:row>46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46</xdr:row>
      <xdr:rowOff>19050</xdr:rowOff>
    </xdr:from>
    <xdr:to>
      <xdr:col>7</xdr:col>
      <xdr:colOff>219075</xdr:colOff>
      <xdr:row>46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46</xdr:row>
      <xdr:rowOff>19050</xdr:rowOff>
    </xdr:from>
    <xdr:to>
      <xdr:col>8</xdr:col>
      <xdr:colOff>257175</xdr:colOff>
      <xdr:row>46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46</xdr:row>
      <xdr:rowOff>19050</xdr:rowOff>
    </xdr:from>
    <xdr:to>
      <xdr:col>9</xdr:col>
      <xdr:colOff>228600</xdr:colOff>
      <xdr:row>46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46</xdr:row>
      <xdr:rowOff>19050</xdr:rowOff>
    </xdr:from>
    <xdr:to>
      <xdr:col>10</xdr:col>
      <xdr:colOff>200025</xdr:colOff>
      <xdr:row>46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46</xdr:row>
      <xdr:rowOff>19050</xdr:rowOff>
    </xdr:from>
    <xdr:to>
      <xdr:col>5</xdr:col>
      <xdr:colOff>295275</xdr:colOff>
      <xdr:row>46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46</xdr:row>
      <xdr:rowOff>19050</xdr:rowOff>
    </xdr:from>
    <xdr:to>
      <xdr:col>4</xdr:col>
      <xdr:colOff>247650</xdr:colOff>
      <xdr:row>46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49</xdr:row>
      <xdr:rowOff>28575</xdr:rowOff>
    </xdr:from>
    <xdr:to>
      <xdr:col>2</xdr:col>
      <xdr:colOff>333375</xdr:colOff>
      <xdr:row>49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49</xdr:row>
      <xdr:rowOff>28575</xdr:rowOff>
    </xdr:from>
    <xdr:to>
      <xdr:col>3</xdr:col>
      <xdr:colOff>371475</xdr:colOff>
      <xdr:row>49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49</xdr:row>
      <xdr:rowOff>38100</xdr:rowOff>
    </xdr:from>
    <xdr:to>
      <xdr:col>4</xdr:col>
      <xdr:colOff>400048</xdr:colOff>
      <xdr:row>49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49</xdr:row>
      <xdr:rowOff>38100</xdr:rowOff>
    </xdr:from>
    <xdr:to>
      <xdr:col>6</xdr:col>
      <xdr:colOff>380998</xdr:colOff>
      <xdr:row>49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49</xdr:row>
      <xdr:rowOff>38100</xdr:rowOff>
    </xdr:from>
    <xdr:to>
      <xdr:col>7</xdr:col>
      <xdr:colOff>400048</xdr:colOff>
      <xdr:row>49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49</xdr:row>
      <xdr:rowOff>38100</xdr:rowOff>
    </xdr:from>
    <xdr:to>
      <xdr:col>8</xdr:col>
      <xdr:colOff>419098</xdr:colOff>
      <xdr:row>49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34</xdr:row>
      <xdr:rowOff>176645</xdr:rowOff>
    </xdr:from>
    <xdr:to>
      <xdr:col>18</xdr:col>
      <xdr:colOff>450273</xdr:colOff>
      <xdr:row>41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41</xdr:row>
      <xdr:rowOff>57150</xdr:rowOff>
    </xdr:from>
    <xdr:to>
      <xdr:col>15</xdr:col>
      <xdr:colOff>768639</xdr:colOff>
      <xdr:row>44</xdr:row>
      <xdr:rowOff>6928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27</xdr:row>
      <xdr:rowOff>131618</xdr:rowOff>
    </xdr:from>
    <xdr:to>
      <xdr:col>17</xdr:col>
      <xdr:colOff>462396</xdr:colOff>
      <xdr:row>30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47</xdr:row>
      <xdr:rowOff>28575</xdr:rowOff>
    </xdr:from>
    <xdr:to>
      <xdr:col>2</xdr:col>
      <xdr:colOff>361950</xdr:colOff>
      <xdr:row>47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47</xdr:row>
      <xdr:rowOff>28575</xdr:rowOff>
    </xdr:from>
    <xdr:to>
      <xdr:col>3</xdr:col>
      <xdr:colOff>381000</xdr:colOff>
      <xdr:row>47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47</xdr:row>
      <xdr:rowOff>28575</xdr:rowOff>
    </xdr:from>
    <xdr:to>
      <xdr:col>4</xdr:col>
      <xdr:colOff>400050</xdr:colOff>
      <xdr:row>47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47</xdr:row>
      <xdr:rowOff>28575</xdr:rowOff>
    </xdr:from>
    <xdr:to>
      <xdr:col>6</xdr:col>
      <xdr:colOff>390525</xdr:colOff>
      <xdr:row>47</xdr:row>
      <xdr:rowOff>171450</xdr:rowOff>
    </xdr:to>
    <xdr:sp macro="[0]!AFR4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47</xdr:row>
      <xdr:rowOff>28575</xdr:rowOff>
    </xdr:from>
    <xdr:to>
      <xdr:col>7</xdr:col>
      <xdr:colOff>342900</xdr:colOff>
      <xdr:row>47</xdr:row>
      <xdr:rowOff>161925</xdr:rowOff>
    </xdr:to>
    <xdr:sp macro="[0]!AFR3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47</xdr:row>
      <xdr:rowOff>28575</xdr:rowOff>
    </xdr:from>
    <xdr:to>
      <xdr:col>8</xdr:col>
      <xdr:colOff>371475</xdr:colOff>
      <xdr:row>47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39</xdr:row>
      <xdr:rowOff>0</xdr:rowOff>
    </xdr:from>
    <xdr:to>
      <xdr:col>16</xdr:col>
      <xdr:colOff>290945</xdr:colOff>
      <xdr:row>41</xdr:row>
      <xdr:rowOff>110837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10</xdr:col>
      <xdr:colOff>58019</xdr:colOff>
      <xdr:row>47</xdr:row>
      <xdr:rowOff>36368</xdr:rowOff>
    </xdr:from>
    <xdr:to>
      <xdr:col>10</xdr:col>
      <xdr:colOff>353292</xdr:colOff>
      <xdr:row>47</xdr:row>
      <xdr:rowOff>179243</xdr:rowOff>
    </xdr:to>
    <xdr:sp macro="[0]!AFRTG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32246" y="8574232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54554</xdr:colOff>
      <xdr:row>47</xdr:row>
      <xdr:rowOff>24245</xdr:rowOff>
    </xdr:from>
    <xdr:to>
      <xdr:col>9</xdr:col>
      <xdr:colOff>349827</xdr:colOff>
      <xdr:row>47</xdr:row>
      <xdr:rowOff>167120</xdr:rowOff>
    </xdr:to>
    <xdr:sp macro="[0]!AFRTOTO2S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4695827" y="8562109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77068</xdr:colOff>
      <xdr:row>47</xdr:row>
      <xdr:rowOff>29441</xdr:rowOff>
    </xdr:from>
    <xdr:to>
      <xdr:col>5</xdr:col>
      <xdr:colOff>372341</xdr:colOff>
      <xdr:row>47</xdr:row>
      <xdr:rowOff>173182</xdr:rowOff>
    </xdr:to>
    <xdr:sp macro="[0]!AFRTOT1S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3073113" y="8567305"/>
          <a:ext cx="295273" cy="143741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0</xdr:row>
      <xdr:rowOff>0</xdr:rowOff>
    </xdr:from>
    <xdr:ext cx="10401300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1925" y="0"/>
          <a:ext cx="1040130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TROISIEME COMMERCIALE &amp; GESTION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94435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94435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2534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1123950</xdr:rowOff>
    </xdr:from>
    <xdr:to>
      <xdr:col>27</xdr:col>
      <xdr:colOff>619125</xdr:colOff>
      <xdr:row>2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1524000"/>
          <a:ext cx="552450" cy="58102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66675</xdr:colOff>
      <xdr:row>1</xdr:row>
      <xdr:rowOff>419100</xdr:rowOff>
    </xdr:from>
    <xdr:to>
      <xdr:col>27</xdr:col>
      <xdr:colOff>619125</xdr:colOff>
      <xdr:row>1</xdr:row>
      <xdr:rowOff>971550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55" totalsRowShown="0" headerRowDxfId="68" dataDxfId="67">
  <autoFilter ref="A4:F55"/>
  <sortState ref="A5:P1048567">
    <sortCondition ref="B4:B1048567"/>
  </sortState>
  <tableColumns count="6">
    <tableColumn id="13" name="N°" dataDxfId="66"/>
    <tableColumn id="1" name="NOM " dataDxfId="65"/>
    <tableColumn id="2" name="POST-NOM" dataDxfId="64"/>
    <tableColumn id="3" name="PRENOM" dataDxfId="63"/>
    <tableColumn id="4" name="SEXE" dataDxfId="62"/>
    <tableColumn id="17" name="CONDUITE" dataDxfId="61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8" name="Tableau4459" displayName="Tableau4459" ref="A3:U7" totalsRowShown="0" headerRowDxfId="59" tableBorderDxfId="58">
  <autoFilter ref="A3:U7"/>
  <tableColumns count="21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57"/>
    <tableColumn id="21" name=";73" dataDxfId="56"/>
    <tableColumn id="23" name=";74" dataDxfId="55"/>
    <tableColumn id="25" name=";76" dataDxfId="54"/>
    <tableColumn id="26" name=";77" dataDxfId="53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22" name=";21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4" name="Tableau445" displayName="Tableau445" ref="A3:U5" totalsRowShown="0" headerRowDxfId="52" tableBorderDxfId="51">
  <autoFilter ref="A3:U5"/>
  <tableColumns count="21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50"/>
    <tableColumn id="21" name=";73" dataDxfId="49"/>
    <tableColumn id="23" name=";74" dataDxfId="48"/>
    <tableColumn id="25" name=";76" dataDxfId="47"/>
    <tableColumn id="26" name=";77" dataDxfId="46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22" name=";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3" name="Tableau44" displayName="Tableau44" ref="A3:W7" totalsRowShown="0" headerRowDxfId="45" tableBorderDxfId="44">
  <autoFilter ref="A3:W7"/>
  <tableColumns count="23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43"/>
    <tableColumn id="21" name=";73" dataDxfId="42"/>
    <tableColumn id="23" name=";74" dataDxfId="41"/>
    <tableColumn id="24" name=";75" dataDxfId="40"/>
    <tableColumn id="25" name=";76" dataDxfId="39"/>
    <tableColumn id="26" name=";77" dataDxfId="38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41" name=";19" dataDxfId="37"/>
    <tableColumn id="22" name=";2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10" totalsRowShown="0" headerRowDxfId="36" tableBorderDxfId="35">
  <autoFilter ref="A3:W10"/>
  <tableColumns count="23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34"/>
    <tableColumn id="21" name=";73" dataDxfId="33"/>
    <tableColumn id="23" name=";74" dataDxfId="32"/>
    <tableColumn id="24" name=";75" dataDxfId="31"/>
    <tableColumn id="25" name=";76" dataDxfId="30"/>
    <tableColumn id="26" name=";77" dataDxfId="29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41" name=";19" dataDxfId="28"/>
    <tableColumn id="22" name=";21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7" displayName="Tableau47" ref="A3:W8" totalsRowShown="0" headerRowDxfId="27" tableBorderDxfId="26">
  <autoFilter ref="A3:W8"/>
  <tableColumns count="23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25"/>
    <tableColumn id="21" name=";73" dataDxfId="24"/>
    <tableColumn id="23" name=";74" dataDxfId="23"/>
    <tableColumn id="24" name=";75" dataDxfId="22"/>
    <tableColumn id="25" name=";76" dataDxfId="21"/>
    <tableColumn id="26" name=";77" dataDxfId="20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41" name=";19" dataDxfId="19"/>
    <tableColumn id="22" name=";21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" displayName="Tableau4" ref="A3:W9" totalsRowShown="0" headerRowDxfId="18" tableBorderDxfId="17">
  <autoFilter ref="A3:W9"/>
  <tableColumns count="23">
    <tableColumn id="1" name="NOM"/>
    <tableColumn id="2" name="POST NOM"/>
    <tableColumn id="3" name=";2"/>
    <tableColumn id="5" name=";4"/>
    <tableColumn id="6" name=";5"/>
    <tableColumn id="7" name=";6"/>
    <tableColumn id="8" name=";7"/>
    <tableColumn id="20" name=";72" dataDxfId="16"/>
    <tableColumn id="21" name=";73" dataDxfId="15"/>
    <tableColumn id="23" name=";74" dataDxfId="14"/>
    <tableColumn id="24" name=";75" dataDxfId="13"/>
    <tableColumn id="25" name=";76" dataDxfId="12"/>
    <tableColumn id="26" name=";77" dataDxfId="11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41" name=";19" dataDxfId="10"/>
    <tableColumn id="22" name=";21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5" totalsRowShown="0" headerRowDxfId="7" dataDxfId="6">
  <autoFilter ref="A4:F5"/>
  <sortState ref="A5:F29">
    <sortCondition ref="F4:F29"/>
  </sortState>
  <tableColumns count="6">
    <tableColumn id="1" name="NOM" dataDxfId="5"/>
    <tableColumn id="2" name="POST-NOM" dataDxfId="4"/>
    <tableColumn id="3" name="PRENOM" dataDxfId="3"/>
    <tableColumn id="4" name="SEXE" dataDxfId="2"/>
    <tableColumn id="5" name="%" dataDxfId="1"/>
    <tableColumn id="6" name="PLACE" dataDxfId="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0"/>
  <sheetViews>
    <sheetView view="pageLayout" topLeftCell="A5" zoomScale="110" zoomScaleNormal="100" zoomScalePageLayoutView="110" workbookViewId="0">
      <selection activeCell="K46" sqref="K46"/>
    </sheetView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56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99"/>
      <c r="B14" s="100"/>
      <c r="C14" s="129" t="s">
        <v>0</v>
      </c>
      <c r="D14" s="130"/>
      <c r="E14" s="130"/>
      <c r="F14" s="131"/>
      <c r="G14" s="129" t="s">
        <v>1</v>
      </c>
      <c r="H14" s="130"/>
      <c r="I14" s="130"/>
      <c r="J14" s="131"/>
      <c r="K14" s="126" t="s">
        <v>57</v>
      </c>
      <c r="L14" s="122"/>
      <c r="M14" s="99"/>
      <c r="N14" s="100"/>
    </row>
    <row r="15" spans="1:14" ht="18.75" customHeight="1" x14ac:dyDescent="0.25">
      <c r="A15" s="101"/>
      <c r="B15" s="102"/>
      <c r="C15" s="134" t="s">
        <v>2</v>
      </c>
      <c r="D15" s="135"/>
      <c r="E15" s="132" t="s">
        <v>80</v>
      </c>
      <c r="F15" s="126" t="s">
        <v>58</v>
      </c>
      <c r="G15" s="134" t="s">
        <v>2</v>
      </c>
      <c r="H15" s="135"/>
      <c r="I15" s="132" t="s">
        <v>59</v>
      </c>
      <c r="J15" s="126" t="s">
        <v>58</v>
      </c>
      <c r="K15" s="127"/>
      <c r="L15" s="123"/>
      <c r="M15" s="120"/>
      <c r="N15" s="121"/>
    </row>
    <row r="16" spans="1:14" ht="13.5" customHeight="1" x14ac:dyDescent="0.25">
      <c r="A16" s="120"/>
      <c r="B16" s="121"/>
      <c r="C16" s="50" t="s">
        <v>60</v>
      </c>
      <c r="D16" s="2" t="s">
        <v>61</v>
      </c>
      <c r="E16" s="133"/>
      <c r="F16" s="128"/>
      <c r="G16" s="2" t="s">
        <v>62</v>
      </c>
      <c r="H16" s="2" t="s">
        <v>63</v>
      </c>
      <c r="I16" s="133"/>
      <c r="J16" s="128"/>
      <c r="K16" s="128"/>
      <c r="L16" s="123"/>
      <c r="M16" s="2" t="s">
        <v>3</v>
      </c>
      <c r="N16" s="2" t="s">
        <v>4</v>
      </c>
    </row>
    <row r="17" spans="1:14" ht="15.75" x14ac:dyDescent="0.3">
      <c r="A17" s="106" t="s">
        <v>5</v>
      </c>
      <c r="B17" s="104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23"/>
      <c r="M17" s="115"/>
      <c r="N17" s="116"/>
    </row>
    <row r="18" spans="1:14" ht="13.5" customHeight="1" x14ac:dyDescent="0.25">
      <c r="A18" s="95" t="s">
        <v>65</v>
      </c>
      <c r="B18" s="96"/>
      <c r="C18" s="15"/>
      <c r="D18" s="15"/>
      <c r="E18" s="15"/>
      <c r="F18" s="16">
        <f>SUM(C18:E18)</f>
        <v>0</v>
      </c>
      <c r="G18" s="15"/>
      <c r="H18" s="15"/>
      <c r="I18" s="15"/>
      <c r="J18" s="16">
        <f>SUM(G18:I18)</f>
        <v>0</v>
      </c>
      <c r="K18" s="16">
        <f>SUM(F18,J18)</f>
        <v>0</v>
      </c>
      <c r="L18" s="123"/>
      <c r="M18" s="1"/>
      <c r="N18" s="1"/>
    </row>
    <row r="19" spans="1:14" ht="13.5" customHeight="1" x14ac:dyDescent="0.25">
      <c r="A19" s="95" t="s">
        <v>66</v>
      </c>
      <c r="B19" s="96"/>
      <c r="C19" s="15"/>
      <c r="D19" s="15"/>
      <c r="E19" s="15"/>
      <c r="F19" s="16">
        <f t="shared" ref="F19:F25" si="0">SUM(C19:E19)</f>
        <v>0</v>
      </c>
      <c r="G19" s="15"/>
      <c r="H19" s="15"/>
      <c r="I19" s="15"/>
      <c r="J19" s="16">
        <f t="shared" ref="J19:J25" si="1">SUM(G19:I19)</f>
        <v>0</v>
      </c>
      <c r="K19" s="16">
        <f t="shared" ref="K19:K25" si="2">SUM(F19,J19)</f>
        <v>0</v>
      </c>
      <c r="L19" s="123"/>
      <c r="M19" s="1"/>
      <c r="N19" s="1"/>
    </row>
    <row r="20" spans="1:14" ht="13.5" customHeight="1" x14ac:dyDescent="0.25">
      <c r="A20" s="95" t="s">
        <v>71</v>
      </c>
      <c r="B20" s="96"/>
      <c r="C20" s="15"/>
      <c r="D20" s="15"/>
      <c r="E20" s="15"/>
      <c r="F20" s="16">
        <f t="shared" si="0"/>
        <v>0</v>
      </c>
      <c r="G20" s="15"/>
      <c r="H20" s="15"/>
      <c r="I20" s="15"/>
      <c r="J20" s="16">
        <f t="shared" si="1"/>
        <v>0</v>
      </c>
      <c r="K20" s="16">
        <f t="shared" si="2"/>
        <v>0</v>
      </c>
      <c r="L20" s="123"/>
      <c r="M20" s="1"/>
      <c r="N20" s="1"/>
    </row>
    <row r="21" spans="1:14" ht="13.5" customHeight="1" x14ac:dyDescent="0.25">
      <c r="A21" s="95" t="s">
        <v>64</v>
      </c>
      <c r="B21" s="96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23"/>
      <c r="M21" s="1"/>
      <c r="N21" s="1"/>
    </row>
    <row r="22" spans="1:14" s="20" customFormat="1" ht="13.5" customHeight="1" x14ac:dyDescent="0.25">
      <c r="A22" s="118" t="s">
        <v>72</v>
      </c>
      <c r="B22" s="119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23"/>
      <c r="M22" s="53"/>
      <c r="N22" s="45"/>
    </row>
    <row r="23" spans="1:14" s="20" customFormat="1" ht="13.5" customHeight="1" x14ac:dyDescent="0.25">
      <c r="A23" s="95" t="s">
        <v>75</v>
      </c>
      <c r="B23" s="96"/>
      <c r="C23" s="15"/>
      <c r="D23" s="15"/>
      <c r="E23" s="15"/>
      <c r="F23" s="16">
        <f t="shared" si="0"/>
        <v>0</v>
      </c>
      <c r="G23" s="15"/>
      <c r="H23" s="15"/>
      <c r="I23" s="15"/>
      <c r="J23" s="16">
        <f t="shared" si="1"/>
        <v>0</v>
      </c>
      <c r="K23" s="16">
        <f t="shared" si="2"/>
        <v>0</v>
      </c>
      <c r="L23" s="123"/>
      <c r="M23" s="44"/>
      <c r="N23" s="56"/>
    </row>
    <row r="24" spans="1:14" s="20" customFormat="1" ht="13.5" customHeight="1" x14ac:dyDescent="0.25">
      <c r="A24" s="95" t="s">
        <v>76</v>
      </c>
      <c r="B24" s="96"/>
      <c r="C24" s="15"/>
      <c r="D24" s="15"/>
      <c r="E24" s="15"/>
      <c r="F24" s="16">
        <f t="shared" si="0"/>
        <v>0</v>
      </c>
      <c r="G24" s="15"/>
      <c r="H24" s="15"/>
      <c r="I24" s="15"/>
      <c r="J24" s="16">
        <f t="shared" si="1"/>
        <v>0</v>
      </c>
      <c r="K24" s="16">
        <f t="shared" si="2"/>
        <v>0</v>
      </c>
      <c r="L24" s="123"/>
      <c r="M24" s="53"/>
      <c r="N24" s="45"/>
    </row>
    <row r="25" spans="1:14" s="20" customFormat="1" ht="13.5" customHeight="1" x14ac:dyDescent="0.25">
      <c r="A25" s="136" t="s">
        <v>82</v>
      </c>
      <c r="B25" s="137"/>
      <c r="C25" s="15"/>
      <c r="D25" s="15"/>
      <c r="E25" s="15"/>
      <c r="F25" s="16">
        <f t="shared" si="0"/>
        <v>0</v>
      </c>
      <c r="G25" s="15"/>
      <c r="H25" s="15"/>
      <c r="I25" s="15"/>
      <c r="J25" s="16">
        <f t="shared" si="1"/>
        <v>0</v>
      </c>
      <c r="K25" s="16">
        <f t="shared" si="2"/>
        <v>0</v>
      </c>
      <c r="L25" s="123"/>
      <c r="M25" s="53"/>
      <c r="N25" s="45"/>
    </row>
    <row r="26" spans="1:14" ht="14.25" customHeight="1" x14ac:dyDescent="0.3">
      <c r="A26" s="106" t="s">
        <v>5</v>
      </c>
      <c r="B26" s="117"/>
      <c r="C26" s="3">
        <v>10</v>
      </c>
      <c r="D26" s="3">
        <v>10</v>
      </c>
      <c r="E26" s="51"/>
      <c r="F26" s="3">
        <v>20</v>
      </c>
      <c r="G26" s="3">
        <v>10</v>
      </c>
      <c r="H26" s="3">
        <v>10</v>
      </c>
      <c r="I26" s="51"/>
      <c r="J26" s="3">
        <v>20</v>
      </c>
      <c r="K26" s="3">
        <v>40</v>
      </c>
      <c r="L26" s="123"/>
      <c r="M26" s="115"/>
      <c r="N26" s="116"/>
    </row>
    <row r="27" spans="1:14" ht="13.5" customHeight="1" x14ac:dyDescent="0.25">
      <c r="A27" s="93" t="s">
        <v>78</v>
      </c>
      <c r="B27" s="94"/>
      <c r="C27" s="15"/>
      <c r="D27" s="15"/>
      <c r="E27" s="52"/>
      <c r="F27" s="16">
        <f>SUM(C27:D27)</f>
        <v>0</v>
      </c>
      <c r="G27" s="15"/>
      <c r="H27" s="15"/>
      <c r="I27" s="52"/>
      <c r="J27" s="16">
        <f>SUM(G27:H27)</f>
        <v>0</v>
      </c>
      <c r="K27" s="16">
        <f>SUM(F27,J27)</f>
        <v>0</v>
      </c>
      <c r="L27" s="123"/>
      <c r="M27" s="1"/>
      <c r="N27" s="1"/>
    </row>
    <row r="28" spans="1:14" ht="13.5" customHeight="1" x14ac:dyDescent="0.3">
      <c r="A28" s="106" t="s">
        <v>5</v>
      </c>
      <c r="B28" s="117"/>
      <c r="C28" s="2">
        <v>20</v>
      </c>
      <c r="D28" s="57">
        <v>20</v>
      </c>
      <c r="E28" s="57">
        <v>40</v>
      </c>
      <c r="F28" s="58">
        <v>80</v>
      </c>
      <c r="G28" s="57">
        <v>20</v>
      </c>
      <c r="H28" s="57">
        <v>20</v>
      </c>
      <c r="I28" s="57">
        <v>40</v>
      </c>
      <c r="J28" s="58">
        <v>80</v>
      </c>
      <c r="K28" s="58">
        <v>160</v>
      </c>
      <c r="L28" s="123"/>
      <c r="M28" s="1"/>
      <c r="N28" s="1"/>
    </row>
    <row r="29" spans="1:14" ht="13.5" customHeight="1" x14ac:dyDescent="0.25">
      <c r="A29" s="95" t="s">
        <v>77</v>
      </c>
      <c r="B29" s="96"/>
      <c r="C29" s="15"/>
      <c r="D29" s="15"/>
      <c r="E29" s="15"/>
      <c r="F29" s="16">
        <f>SUM(C29:E29)</f>
        <v>0</v>
      </c>
      <c r="G29" s="15"/>
      <c r="H29" s="15"/>
      <c r="I29" s="15"/>
      <c r="J29" s="16">
        <f>SUM(G29:I29)</f>
        <v>0</v>
      </c>
      <c r="K29" s="16">
        <f t="shared" ref="K29:K34" si="3">SUM(F29,J29)</f>
        <v>0</v>
      </c>
      <c r="L29" s="123"/>
      <c r="M29" s="1"/>
      <c r="N29" s="1"/>
    </row>
    <row r="30" spans="1:14" s="20" customFormat="1" ht="13.5" customHeight="1" x14ac:dyDescent="0.25">
      <c r="A30" s="95" t="s">
        <v>70</v>
      </c>
      <c r="B30" s="96"/>
      <c r="C30" s="15"/>
      <c r="D30" s="15"/>
      <c r="E30" s="15"/>
      <c r="F30" s="16">
        <f t="shared" ref="F30:F34" si="4">SUM(C30:E30)</f>
        <v>0</v>
      </c>
      <c r="G30" s="15"/>
      <c r="H30" s="15"/>
      <c r="I30" s="15"/>
      <c r="J30" s="16">
        <f t="shared" ref="J30:J34" si="5">SUM(G30:I30)</f>
        <v>0</v>
      </c>
      <c r="K30" s="16">
        <f t="shared" si="3"/>
        <v>0</v>
      </c>
      <c r="L30" s="123"/>
      <c r="M30" s="1"/>
      <c r="N30" s="1"/>
    </row>
    <row r="31" spans="1:14" ht="13.5" customHeight="1" x14ac:dyDescent="0.25">
      <c r="A31" s="95" t="s">
        <v>74</v>
      </c>
      <c r="B31" s="96"/>
      <c r="C31" s="15"/>
      <c r="D31" s="15"/>
      <c r="E31" s="15"/>
      <c r="F31" s="16">
        <f t="shared" si="4"/>
        <v>0</v>
      </c>
      <c r="G31" s="15"/>
      <c r="H31" s="15"/>
      <c r="I31" s="15"/>
      <c r="J31" s="16">
        <f t="shared" si="5"/>
        <v>0</v>
      </c>
      <c r="K31" s="16">
        <f t="shared" si="3"/>
        <v>0</v>
      </c>
      <c r="L31" s="123"/>
      <c r="M31" s="1"/>
      <c r="N31" s="1"/>
    </row>
    <row r="32" spans="1:14" s="20" customFormat="1" ht="13.5" customHeight="1" x14ac:dyDescent="0.25">
      <c r="A32" s="95" t="s">
        <v>73</v>
      </c>
      <c r="B32" s="96"/>
      <c r="C32" s="15"/>
      <c r="D32" s="15"/>
      <c r="E32" s="15"/>
      <c r="F32" s="16">
        <f t="shared" si="4"/>
        <v>0</v>
      </c>
      <c r="G32" s="15"/>
      <c r="H32" s="15"/>
      <c r="I32" s="15"/>
      <c r="J32" s="16">
        <f t="shared" si="5"/>
        <v>0</v>
      </c>
      <c r="K32" s="16">
        <f t="shared" si="3"/>
        <v>0</v>
      </c>
      <c r="L32" s="123"/>
      <c r="M32" s="53"/>
      <c r="N32" s="45"/>
    </row>
    <row r="33" spans="1:14" s="20" customFormat="1" ht="13.5" customHeight="1" x14ac:dyDescent="0.25">
      <c r="A33" s="95" t="s">
        <v>83</v>
      </c>
      <c r="B33" s="96"/>
      <c r="C33" s="15"/>
      <c r="D33" s="15"/>
      <c r="E33" s="15"/>
      <c r="F33" s="16">
        <f t="shared" si="4"/>
        <v>0</v>
      </c>
      <c r="G33" s="15"/>
      <c r="H33" s="15"/>
      <c r="I33" s="15"/>
      <c r="J33" s="16">
        <f t="shared" si="5"/>
        <v>0</v>
      </c>
      <c r="K33" s="16">
        <f t="shared" si="3"/>
        <v>0</v>
      </c>
      <c r="L33" s="123"/>
      <c r="M33" s="53"/>
      <c r="N33" s="45"/>
    </row>
    <row r="34" spans="1:14" s="20" customFormat="1" ht="13.5" customHeight="1" x14ac:dyDescent="0.25">
      <c r="A34" s="95" t="s">
        <v>84</v>
      </c>
      <c r="B34" s="96"/>
      <c r="C34" s="15"/>
      <c r="D34" s="15"/>
      <c r="E34" s="15"/>
      <c r="F34" s="16">
        <f t="shared" si="4"/>
        <v>0</v>
      </c>
      <c r="G34" s="15"/>
      <c r="H34" s="15"/>
      <c r="I34" s="15"/>
      <c r="J34" s="16">
        <f t="shared" si="5"/>
        <v>0</v>
      </c>
      <c r="K34" s="16">
        <f t="shared" si="3"/>
        <v>0</v>
      </c>
      <c r="L34" s="123"/>
      <c r="M34" s="53"/>
      <c r="N34" s="45"/>
    </row>
    <row r="35" spans="1:14" s="20" customFormat="1" ht="14.25" customHeight="1" x14ac:dyDescent="0.3">
      <c r="A35" s="106" t="s">
        <v>5</v>
      </c>
      <c r="B35" s="117"/>
      <c r="C35" s="57">
        <v>30</v>
      </c>
      <c r="D35" s="57">
        <v>30</v>
      </c>
      <c r="E35" s="61">
        <v>60</v>
      </c>
      <c r="F35" s="58">
        <v>120</v>
      </c>
      <c r="G35" s="57">
        <v>30</v>
      </c>
      <c r="H35" s="57">
        <v>30</v>
      </c>
      <c r="I35" s="61">
        <v>60</v>
      </c>
      <c r="J35" s="58">
        <v>120</v>
      </c>
      <c r="K35" s="58">
        <v>240</v>
      </c>
      <c r="L35" s="123"/>
      <c r="M35" s="54"/>
      <c r="N35" s="55"/>
    </row>
    <row r="36" spans="1:14" s="20" customFormat="1" ht="13.5" customHeight="1" x14ac:dyDescent="0.25">
      <c r="A36" s="118" t="s">
        <v>68</v>
      </c>
      <c r="B36" s="119"/>
      <c r="C36" s="15"/>
      <c r="D36" s="15"/>
      <c r="E36" s="59"/>
      <c r="F36" s="16">
        <f>SUM(C36:E36)</f>
        <v>0</v>
      </c>
      <c r="G36" s="15"/>
      <c r="H36" s="15"/>
      <c r="I36" s="60"/>
      <c r="J36" s="16">
        <f>SUM(G36:I36)</f>
        <v>0</v>
      </c>
      <c r="K36" s="16">
        <f>SUM(F36,J36)</f>
        <v>0</v>
      </c>
      <c r="L36" s="123"/>
      <c r="M36" s="53"/>
      <c r="N36" s="45"/>
    </row>
    <row r="37" spans="1:14" s="20" customFormat="1" ht="13.5" customHeight="1" x14ac:dyDescent="0.3">
      <c r="A37" s="106" t="s">
        <v>5</v>
      </c>
      <c r="B37" s="117"/>
      <c r="C37" s="57">
        <v>40</v>
      </c>
      <c r="D37" s="57">
        <v>40</v>
      </c>
      <c r="E37" s="57">
        <v>80</v>
      </c>
      <c r="F37" s="58">
        <v>160</v>
      </c>
      <c r="G37" s="57">
        <v>40</v>
      </c>
      <c r="H37" s="57">
        <v>40</v>
      </c>
      <c r="I37" s="57">
        <v>80</v>
      </c>
      <c r="J37" s="58">
        <v>160</v>
      </c>
      <c r="K37" s="58">
        <v>320</v>
      </c>
      <c r="L37" s="123"/>
      <c r="M37" s="54"/>
      <c r="N37" s="55"/>
    </row>
    <row r="38" spans="1:14" s="20" customFormat="1" ht="13.5" customHeight="1" x14ac:dyDescent="0.25">
      <c r="A38" s="118" t="s">
        <v>81</v>
      </c>
      <c r="B38" s="119"/>
      <c r="C38" s="15"/>
      <c r="D38" s="15"/>
      <c r="E38" s="15"/>
      <c r="F38" s="16">
        <f>SUM(C38:E38)</f>
        <v>0</v>
      </c>
      <c r="G38" s="15"/>
      <c r="H38" s="15"/>
      <c r="I38" s="15"/>
      <c r="J38" s="16">
        <f>SUM(G38:I38)</f>
        <v>0</v>
      </c>
      <c r="K38" s="16">
        <f>SUM(F38,J38)</f>
        <v>0</v>
      </c>
      <c r="L38" s="123"/>
      <c r="M38" s="53"/>
      <c r="N38" s="45"/>
    </row>
    <row r="39" spans="1:14" s="20" customFormat="1" ht="13.5" customHeight="1" x14ac:dyDescent="0.25">
      <c r="A39" s="118" t="s">
        <v>67</v>
      </c>
      <c r="B39" s="119"/>
      <c r="C39" s="15"/>
      <c r="D39" s="15"/>
      <c r="E39" s="15"/>
      <c r="F39" s="16">
        <f>SUM(C39:E39)</f>
        <v>0</v>
      </c>
      <c r="G39" s="15"/>
      <c r="H39" s="15"/>
      <c r="I39" s="15"/>
      <c r="J39" s="16">
        <f>SUM(G39:I39)</f>
        <v>0</v>
      </c>
      <c r="K39" s="16">
        <f>SUM(F39,J39)</f>
        <v>0</v>
      </c>
      <c r="L39" s="123"/>
      <c r="M39" s="53"/>
      <c r="N39" s="45"/>
    </row>
    <row r="40" spans="1:14" s="20" customFormat="1" ht="13.5" customHeight="1" x14ac:dyDescent="0.3">
      <c r="A40" s="106" t="s">
        <v>5</v>
      </c>
      <c r="B40" s="104"/>
      <c r="C40" s="57">
        <v>60</v>
      </c>
      <c r="D40" s="57">
        <v>60</v>
      </c>
      <c r="E40" s="57">
        <v>120</v>
      </c>
      <c r="F40" s="58">
        <v>240</v>
      </c>
      <c r="G40" s="57">
        <v>60</v>
      </c>
      <c r="H40" s="57">
        <v>60</v>
      </c>
      <c r="I40" s="57">
        <v>120</v>
      </c>
      <c r="J40" s="58">
        <v>240</v>
      </c>
      <c r="K40" s="58">
        <v>480</v>
      </c>
      <c r="L40" s="123"/>
      <c r="M40" s="1"/>
      <c r="N40" s="1"/>
    </row>
    <row r="41" spans="1:14" s="20" customFormat="1" ht="13.5" customHeight="1" x14ac:dyDescent="0.25">
      <c r="A41" s="95" t="s">
        <v>79</v>
      </c>
      <c r="B41" s="96"/>
      <c r="C41" s="15"/>
      <c r="D41" s="15"/>
      <c r="E41" s="15"/>
      <c r="F41" s="16">
        <f>SUM(C41:E41)</f>
        <v>0</v>
      </c>
      <c r="G41" s="15">
        <v>10</v>
      </c>
      <c r="H41" s="15"/>
      <c r="I41" s="15">
        <v>100</v>
      </c>
      <c r="J41" s="16">
        <f>SUM(G41:I41)</f>
        <v>110</v>
      </c>
      <c r="K41" s="16">
        <f>SUM(F41,J41)</f>
        <v>110</v>
      </c>
      <c r="L41" s="123"/>
      <c r="M41" s="1"/>
      <c r="N41" s="1"/>
    </row>
    <row r="42" spans="1:14" ht="13.5" customHeight="1" x14ac:dyDescent="0.3">
      <c r="A42" s="106" t="s">
        <v>5</v>
      </c>
      <c r="B42" s="104"/>
      <c r="C42" s="3">
        <v>100</v>
      </c>
      <c r="D42" s="3">
        <v>100</v>
      </c>
      <c r="E42" s="51"/>
      <c r="F42" s="3">
        <v>200</v>
      </c>
      <c r="G42" s="3">
        <v>100</v>
      </c>
      <c r="H42" s="3">
        <v>100</v>
      </c>
      <c r="I42" s="52"/>
      <c r="J42" s="3">
        <v>200</v>
      </c>
      <c r="K42" s="3">
        <f>SUM(F42,J42)</f>
        <v>400</v>
      </c>
      <c r="L42" s="123"/>
      <c r="M42" s="124"/>
      <c r="N42" s="125"/>
    </row>
    <row r="43" spans="1:14" s="20" customFormat="1" ht="13.5" customHeight="1" x14ac:dyDescent="0.25">
      <c r="A43" s="118" t="s">
        <v>69</v>
      </c>
      <c r="B43" s="119"/>
      <c r="C43" s="15"/>
      <c r="D43" s="15"/>
      <c r="E43" s="52"/>
      <c r="F43" s="16">
        <f>SUM(C43:D43)</f>
        <v>0</v>
      </c>
      <c r="G43" s="15"/>
      <c r="H43" s="15">
        <v>100</v>
      </c>
      <c r="I43" s="52"/>
      <c r="J43" s="16">
        <f>SUM(G43:H43)</f>
        <v>100</v>
      </c>
      <c r="K43" s="16">
        <f>SUM(F43,J43)</f>
        <v>100</v>
      </c>
      <c r="L43" s="123"/>
      <c r="M43" s="53"/>
      <c r="N43" s="45"/>
    </row>
    <row r="44" spans="1:14" ht="15" customHeight="1" x14ac:dyDescent="0.3">
      <c r="A44" s="103" t="s">
        <v>6</v>
      </c>
      <c r="B44" s="104"/>
      <c r="C44" s="4">
        <v>360</v>
      </c>
      <c r="D44" s="4">
        <v>360</v>
      </c>
      <c r="E44" s="4">
        <v>720</v>
      </c>
      <c r="F44" s="4">
        <v>1440</v>
      </c>
      <c r="G44" s="4">
        <v>360</v>
      </c>
      <c r="H44" s="4">
        <v>360</v>
      </c>
      <c r="I44" s="4">
        <v>720</v>
      </c>
      <c r="J44" s="4">
        <v>1440</v>
      </c>
      <c r="K44" s="63">
        <v>2880</v>
      </c>
      <c r="L44" s="123"/>
      <c r="M44" s="115"/>
      <c r="N44" s="116"/>
    </row>
    <row r="45" spans="1:14" ht="15" customHeight="1" x14ac:dyDescent="0.3">
      <c r="A45" s="103" t="s">
        <v>7</v>
      </c>
      <c r="B45" s="105"/>
      <c r="C45" s="15">
        <f>SUM(C18:C25,C27,C29:C34,C36,C38:C39,C41,C43)</f>
        <v>0</v>
      </c>
      <c r="D45" s="15">
        <f>SUM(D18:D25,D27,D29:D34,D36,D38:D39,D41,D43)</f>
        <v>0</v>
      </c>
      <c r="E45" s="15">
        <f>SUM(E18:E25,E29:E34,E36,E38:E39,E41)</f>
        <v>0</v>
      </c>
      <c r="F45" s="15">
        <f>SUM(F18:F25,F27,F29:F34,F36,F38:F39,F41,F43)</f>
        <v>0</v>
      </c>
      <c r="G45" s="15">
        <f>SUM(G18:G25,G27,G29:G34,G36,G38:G39,G41,G43)</f>
        <v>10</v>
      </c>
      <c r="H45" s="15">
        <f>SUM(H18:H25,H27,H29:H34,H36,H38:H39,H41,H43)</f>
        <v>100</v>
      </c>
      <c r="I45" s="15">
        <f>SUM(I18:I25,I29:I34,I36,I38:I39,I41)</f>
        <v>100</v>
      </c>
      <c r="J45" s="15">
        <f>SUM(J18:J25,J27,J29:J34,J36,J38:J39,J41,J43)</f>
        <v>210</v>
      </c>
      <c r="K45" s="15">
        <f>SUM(K18:K25,K27,K29:K34,K36,K38:K39,K41,K43)</f>
        <v>210</v>
      </c>
      <c r="L45" s="123"/>
      <c r="M45" s="99"/>
      <c r="N45" s="100"/>
    </row>
    <row r="46" spans="1:14" ht="15" customHeight="1" x14ac:dyDescent="0.3">
      <c r="A46" s="103" t="s">
        <v>8</v>
      </c>
      <c r="B46" s="105"/>
      <c r="C46" s="15">
        <f>ROUND(((C45*100)/C44),1)</f>
        <v>0</v>
      </c>
      <c r="D46" s="15">
        <f t="shared" ref="D46:K46" si="6">ROUND(((D45*100)/D44),1)</f>
        <v>0</v>
      </c>
      <c r="E46" s="15">
        <f>ROUND(((E45*100)/E44),1)</f>
        <v>0</v>
      </c>
      <c r="F46" s="15">
        <f>ROUND(((F45*100)/F44),1)</f>
        <v>0</v>
      </c>
      <c r="G46" s="15">
        <f t="shared" si="6"/>
        <v>2.8</v>
      </c>
      <c r="H46" s="15">
        <f>ROUND(((H45*100)/H44),1)</f>
        <v>27.8</v>
      </c>
      <c r="I46" s="15">
        <f>ROUND(((I45*100)/I44),1)</f>
        <v>13.9</v>
      </c>
      <c r="J46" s="15">
        <f t="shared" si="6"/>
        <v>14.6</v>
      </c>
      <c r="K46" s="15">
        <f t="shared" si="6"/>
        <v>7.3</v>
      </c>
      <c r="L46" s="123"/>
      <c r="M46" s="101"/>
      <c r="N46" s="102"/>
    </row>
    <row r="47" spans="1:14" ht="15" customHeight="1" x14ac:dyDescent="0.25">
      <c r="A47" s="107" t="s">
        <v>9</v>
      </c>
      <c r="B47" s="108"/>
      <c r="C47" s="13">
        <v>70</v>
      </c>
      <c r="D47" s="5"/>
      <c r="E47" s="5"/>
      <c r="F47" s="5"/>
      <c r="G47" s="5"/>
      <c r="H47" s="5"/>
      <c r="I47" s="5"/>
      <c r="J47" s="5"/>
      <c r="K47" s="5"/>
      <c r="L47" s="123"/>
      <c r="M47" s="101"/>
      <c r="N47" s="102"/>
    </row>
    <row r="48" spans="1:14" ht="15" customHeight="1" x14ac:dyDescent="0.3">
      <c r="A48" s="103" t="s">
        <v>10</v>
      </c>
      <c r="B48" s="105"/>
      <c r="C48" s="5"/>
      <c r="D48" s="5"/>
      <c r="E48" s="109"/>
      <c r="F48" s="110"/>
      <c r="G48" s="5"/>
      <c r="H48" s="5"/>
      <c r="I48" s="109"/>
      <c r="J48" s="110"/>
      <c r="K48" s="113"/>
      <c r="L48" s="123"/>
      <c r="M48" s="101"/>
      <c r="N48" s="102"/>
    </row>
    <row r="49" spans="1:14" ht="15" customHeight="1" x14ac:dyDescent="0.3">
      <c r="A49" s="103" t="s">
        <v>11</v>
      </c>
      <c r="B49" s="105"/>
      <c r="C49" s="5"/>
      <c r="D49" s="5"/>
      <c r="E49" s="111"/>
      <c r="F49" s="112"/>
      <c r="G49" s="5"/>
      <c r="H49" s="5"/>
      <c r="I49" s="111"/>
      <c r="J49" s="112"/>
      <c r="K49" s="114"/>
      <c r="L49" s="123"/>
      <c r="M49" s="101"/>
      <c r="N49" s="102"/>
    </row>
    <row r="50" spans="1:14" ht="15" customHeight="1" x14ac:dyDescent="0.25">
      <c r="A50" s="97" t="s">
        <v>12</v>
      </c>
      <c r="B50" s="98"/>
      <c r="C50" s="46"/>
      <c r="D50" s="48"/>
      <c r="E50" s="48"/>
      <c r="F50" s="47"/>
      <c r="G50" s="46"/>
      <c r="H50" s="48"/>
      <c r="I50" s="48"/>
      <c r="J50" s="48"/>
      <c r="K50" s="47"/>
      <c r="L50" s="123"/>
      <c r="M50" s="101"/>
      <c r="N50" s="102"/>
    </row>
    <row r="51" spans="1:14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</sheetData>
  <mergeCells count="53">
    <mergeCell ref="A14:B16"/>
    <mergeCell ref="A17:B17"/>
    <mergeCell ref="A26:B26"/>
    <mergeCell ref="A18:B18"/>
    <mergeCell ref="A19:B19"/>
    <mergeCell ref="A20:B20"/>
    <mergeCell ref="A22:B22"/>
    <mergeCell ref="A21:B21"/>
    <mergeCell ref="A23:B23"/>
    <mergeCell ref="A24:B24"/>
    <mergeCell ref="A25:B25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M26:N26"/>
    <mergeCell ref="M17:N17"/>
    <mergeCell ref="M14:N15"/>
    <mergeCell ref="L14:L50"/>
    <mergeCell ref="M42:N42"/>
    <mergeCell ref="A37:B37"/>
    <mergeCell ref="A38:B38"/>
    <mergeCell ref="A43:B43"/>
    <mergeCell ref="A28:B28"/>
    <mergeCell ref="A32:B32"/>
    <mergeCell ref="A36:B36"/>
    <mergeCell ref="A39:B39"/>
    <mergeCell ref="A30:B30"/>
    <mergeCell ref="A33:B33"/>
    <mergeCell ref="A34:B34"/>
    <mergeCell ref="A35:B35"/>
    <mergeCell ref="A31:B31"/>
    <mergeCell ref="A27:B27"/>
    <mergeCell ref="A29:B29"/>
    <mergeCell ref="A50:B50"/>
    <mergeCell ref="M45:N50"/>
    <mergeCell ref="A44:B44"/>
    <mergeCell ref="A45:B45"/>
    <mergeCell ref="A40:B40"/>
    <mergeCell ref="A42:B42"/>
    <mergeCell ref="A41:B41"/>
    <mergeCell ref="A46:B46"/>
    <mergeCell ref="A47:B47"/>
    <mergeCell ref="E48:F49"/>
    <mergeCell ref="I48:K49"/>
    <mergeCell ref="A48:B48"/>
    <mergeCell ref="M44:N44"/>
    <mergeCell ref="A49:B49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55"/>
  <sheetViews>
    <sheetView showGridLines="0" zoomScaleNormal="100" workbookViewId="0">
      <selection activeCell="H10" sqref="H10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11</v>
      </c>
    </row>
    <row r="5" spans="1:6" ht="16.5" x14ac:dyDescent="0.3">
      <c r="A5" s="37">
        <v>1</v>
      </c>
      <c r="B5" s="37" t="s">
        <v>133</v>
      </c>
      <c r="C5" s="37" t="s">
        <v>134</v>
      </c>
      <c r="D5" s="37"/>
      <c r="E5" s="37"/>
    </row>
    <row r="6" spans="1:6" ht="16.5" x14ac:dyDescent="0.3">
      <c r="A6" s="37">
        <f>A5+1</f>
        <v>2</v>
      </c>
      <c r="B6" s="37" t="s">
        <v>135</v>
      </c>
      <c r="C6" s="37" t="s">
        <v>136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137</v>
      </c>
      <c r="C7" s="37" t="s">
        <v>138</v>
      </c>
      <c r="D7" s="37"/>
      <c r="E7" s="37"/>
    </row>
    <row r="8" spans="1:6" ht="16.5" x14ac:dyDescent="0.3">
      <c r="A8" s="37">
        <f t="shared" si="0"/>
        <v>4</v>
      </c>
      <c r="B8" s="37" t="s">
        <v>139</v>
      </c>
      <c r="C8" s="37" t="s">
        <v>140</v>
      </c>
      <c r="D8" s="37"/>
      <c r="E8" s="37"/>
    </row>
    <row r="9" spans="1:6" ht="16.5" x14ac:dyDescent="0.3">
      <c r="A9" s="37">
        <f t="shared" ref="A9:A55" si="1">A8+1</f>
        <v>5</v>
      </c>
      <c r="B9" s="37" t="s">
        <v>141</v>
      </c>
      <c r="C9" s="37" t="s">
        <v>142</v>
      </c>
      <c r="D9" s="37"/>
      <c r="E9" s="37"/>
    </row>
    <row r="10" spans="1:6" ht="16.5" x14ac:dyDescent="0.3">
      <c r="A10" s="37">
        <f t="shared" si="1"/>
        <v>6</v>
      </c>
      <c r="B10" s="37" t="s">
        <v>143</v>
      </c>
      <c r="C10" s="37" t="s">
        <v>48</v>
      </c>
      <c r="D10" s="37"/>
      <c r="E10" s="37"/>
    </row>
    <row r="11" spans="1:6" ht="16.5" x14ac:dyDescent="0.3">
      <c r="A11" s="37">
        <f t="shared" si="1"/>
        <v>7</v>
      </c>
      <c r="B11" s="37" t="s">
        <v>144</v>
      </c>
      <c r="C11" s="37" t="s">
        <v>51</v>
      </c>
      <c r="D11" s="37"/>
      <c r="E11" s="37"/>
    </row>
    <row r="12" spans="1:6" ht="16.5" x14ac:dyDescent="0.3">
      <c r="A12" s="37">
        <f t="shared" si="1"/>
        <v>8</v>
      </c>
      <c r="B12" s="37" t="s">
        <v>145</v>
      </c>
      <c r="C12" s="37" t="s">
        <v>146</v>
      </c>
      <c r="D12" s="37"/>
      <c r="E12" s="37"/>
    </row>
    <row r="13" spans="1:6" ht="16.5" x14ac:dyDescent="0.3">
      <c r="A13" s="37">
        <f t="shared" si="1"/>
        <v>9</v>
      </c>
      <c r="B13" s="37" t="s">
        <v>54</v>
      </c>
      <c r="C13" s="37" t="s">
        <v>147</v>
      </c>
      <c r="D13" s="37"/>
      <c r="E13" s="37"/>
    </row>
    <row r="14" spans="1:6" ht="16.5" x14ac:dyDescent="0.3">
      <c r="A14" s="37">
        <f t="shared" si="1"/>
        <v>10</v>
      </c>
      <c r="B14" s="37" t="s">
        <v>148</v>
      </c>
      <c r="C14" s="37" t="s">
        <v>149</v>
      </c>
      <c r="D14" s="37"/>
      <c r="E14" s="37"/>
    </row>
    <row r="15" spans="1:6" ht="16.5" x14ac:dyDescent="0.3">
      <c r="A15" s="37">
        <f t="shared" si="1"/>
        <v>11</v>
      </c>
      <c r="B15" s="37" t="s">
        <v>150</v>
      </c>
      <c r="C15" s="37" t="s">
        <v>151</v>
      </c>
      <c r="D15" s="37"/>
      <c r="E15" s="37"/>
    </row>
    <row r="16" spans="1:6" ht="16.5" x14ac:dyDescent="0.3">
      <c r="A16" s="37">
        <f t="shared" si="1"/>
        <v>12</v>
      </c>
      <c r="B16" s="37" t="s">
        <v>152</v>
      </c>
      <c r="C16" s="37" t="s">
        <v>153</v>
      </c>
      <c r="D16" s="37"/>
      <c r="E16" s="37"/>
    </row>
    <row r="17" spans="1:6" ht="16.5" x14ac:dyDescent="0.3">
      <c r="A17" s="37">
        <f t="shared" si="1"/>
        <v>13</v>
      </c>
      <c r="B17" s="37" t="s">
        <v>154</v>
      </c>
      <c r="C17" s="37" t="s">
        <v>155</v>
      </c>
      <c r="D17" s="37"/>
      <c r="E17" s="37"/>
    </row>
    <row r="18" spans="1:6" ht="16.5" x14ac:dyDescent="0.3">
      <c r="A18" s="37">
        <f t="shared" si="1"/>
        <v>14</v>
      </c>
      <c r="B18" s="37" t="s">
        <v>156</v>
      </c>
      <c r="C18" s="37" t="s">
        <v>157</v>
      </c>
      <c r="D18" s="37"/>
      <c r="E18" s="37"/>
    </row>
    <row r="19" spans="1:6" ht="16.5" x14ac:dyDescent="0.3">
      <c r="A19" s="37">
        <f t="shared" si="1"/>
        <v>15</v>
      </c>
      <c r="B19" s="37" t="s">
        <v>158</v>
      </c>
      <c r="C19" s="37" t="s">
        <v>159</v>
      </c>
      <c r="D19" s="37"/>
      <c r="E19" s="37"/>
    </row>
    <row r="20" spans="1:6" ht="16.5" x14ac:dyDescent="0.3">
      <c r="A20" s="37">
        <f t="shared" si="1"/>
        <v>16</v>
      </c>
      <c r="B20" s="37" t="s">
        <v>160</v>
      </c>
      <c r="C20" s="37" t="s">
        <v>161</v>
      </c>
      <c r="D20" s="37"/>
      <c r="E20" s="37"/>
    </row>
    <row r="21" spans="1:6" ht="16.5" x14ac:dyDescent="0.3">
      <c r="A21" s="37">
        <f t="shared" si="1"/>
        <v>17</v>
      </c>
      <c r="B21" s="37" t="s">
        <v>162</v>
      </c>
      <c r="C21" s="37" t="s">
        <v>52</v>
      </c>
      <c r="D21" s="37"/>
      <c r="E21" s="37"/>
    </row>
    <row r="22" spans="1:6" ht="16.5" x14ac:dyDescent="0.3">
      <c r="A22" s="37">
        <f t="shared" si="1"/>
        <v>18</v>
      </c>
      <c r="B22" s="37" t="s">
        <v>163</v>
      </c>
      <c r="C22" s="37" t="s">
        <v>164</v>
      </c>
      <c r="D22" s="37"/>
      <c r="E22" s="37"/>
    </row>
    <row r="23" spans="1:6" ht="16.5" x14ac:dyDescent="0.3">
      <c r="A23" s="37">
        <f t="shared" si="1"/>
        <v>19</v>
      </c>
      <c r="B23" s="37" t="s">
        <v>165</v>
      </c>
      <c r="C23" s="37" t="s">
        <v>166</v>
      </c>
      <c r="D23" s="37"/>
      <c r="E23" s="37"/>
    </row>
    <row r="24" spans="1:6" ht="16.5" x14ac:dyDescent="0.3">
      <c r="A24" s="37">
        <f t="shared" si="1"/>
        <v>20</v>
      </c>
      <c r="B24" s="37" t="s">
        <v>167</v>
      </c>
      <c r="C24" s="37" t="s">
        <v>49</v>
      </c>
      <c r="D24" s="37"/>
      <c r="E24" s="37"/>
    </row>
    <row r="25" spans="1:6" ht="16.5" x14ac:dyDescent="0.3">
      <c r="A25" s="37">
        <f t="shared" si="1"/>
        <v>21</v>
      </c>
      <c r="B25" s="37" t="s">
        <v>168</v>
      </c>
      <c r="C25" s="37" t="s">
        <v>169</v>
      </c>
      <c r="D25" s="37"/>
      <c r="E25" s="37"/>
    </row>
    <row r="26" spans="1:6" ht="16.5" x14ac:dyDescent="0.3">
      <c r="A26" s="37">
        <f t="shared" si="1"/>
        <v>22</v>
      </c>
      <c r="B26" s="37" t="s">
        <v>170</v>
      </c>
      <c r="C26" s="37" t="s">
        <v>171</v>
      </c>
      <c r="D26" s="37"/>
      <c r="E26" s="37"/>
    </row>
    <row r="27" spans="1:6" ht="16.5" x14ac:dyDescent="0.3">
      <c r="A27" s="37">
        <f t="shared" si="1"/>
        <v>23</v>
      </c>
      <c r="B27" s="37" t="s">
        <v>172</v>
      </c>
      <c r="C27" s="37" t="s">
        <v>173</v>
      </c>
      <c r="D27" s="37"/>
      <c r="E27" s="37"/>
    </row>
    <row r="28" spans="1:6" ht="16.5" x14ac:dyDescent="0.3">
      <c r="A28" s="37">
        <f t="shared" si="1"/>
        <v>24</v>
      </c>
      <c r="B28" s="37" t="s">
        <v>174</v>
      </c>
      <c r="C28" s="37" t="s">
        <v>175</v>
      </c>
      <c r="D28" s="37"/>
      <c r="E28" s="37"/>
    </row>
    <row r="29" spans="1:6" ht="16.5" x14ac:dyDescent="0.3">
      <c r="A29" s="37">
        <f t="shared" si="1"/>
        <v>25</v>
      </c>
      <c r="B29" s="37" t="s">
        <v>176</v>
      </c>
      <c r="C29" s="37" t="s">
        <v>177</v>
      </c>
      <c r="D29" s="37"/>
      <c r="E29" s="37"/>
    </row>
    <row r="30" spans="1:6" ht="16.5" x14ac:dyDescent="0.3">
      <c r="A30" s="37">
        <f t="shared" si="1"/>
        <v>26</v>
      </c>
      <c r="B30" s="37" t="s">
        <v>178</v>
      </c>
      <c r="C30" s="37" t="s">
        <v>179</v>
      </c>
      <c r="D30" s="37"/>
      <c r="E30" s="37"/>
    </row>
    <row r="31" spans="1:6" ht="16.5" x14ac:dyDescent="0.3">
      <c r="A31" s="37">
        <f t="shared" si="1"/>
        <v>27</v>
      </c>
      <c r="B31" s="37" t="s">
        <v>180</v>
      </c>
      <c r="C31" s="37" t="s">
        <v>181</v>
      </c>
      <c r="D31" s="37"/>
      <c r="E31" s="37"/>
    </row>
    <row r="32" spans="1:6" ht="16.5" x14ac:dyDescent="0.3">
      <c r="A32" s="37">
        <f t="shared" si="1"/>
        <v>28</v>
      </c>
      <c r="B32" s="37" t="s">
        <v>53</v>
      </c>
      <c r="C32" s="37" t="s">
        <v>182</v>
      </c>
      <c r="D32" s="37"/>
      <c r="E32" s="37"/>
    </row>
    <row r="33" spans="1:5" ht="16.5" x14ac:dyDescent="0.3">
      <c r="A33" s="37">
        <f t="shared" si="1"/>
        <v>29</v>
      </c>
      <c r="B33" s="37" t="s">
        <v>183</v>
      </c>
      <c r="C33" s="37" t="s">
        <v>184</v>
      </c>
      <c r="D33" s="37"/>
      <c r="E33" s="37"/>
    </row>
    <row r="34" spans="1:5" ht="16.5" x14ac:dyDescent="0.3">
      <c r="A34" s="37">
        <f t="shared" si="1"/>
        <v>30</v>
      </c>
      <c r="B34" s="37" t="s">
        <v>185</v>
      </c>
      <c r="C34" s="37" t="s">
        <v>186</v>
      </c>
      <c r="D34" s="37"/>
      <c r="E34" s="37"/>
    </row>
    <row r="35" spans="1:5" ht="16.5" x14ac:dyDescent="0.3">
      <c r="A35" s="37">
        <f t="shared" si="1"/>
        <v>31</v>
      </c>
      <c r="B35" s="37" t="s">
        <v>187</v>
      </c>
      <c r="C35" s="37" t="s">
        <v>188</v>
      </c>
      <c r="D35" s="37"/>
      <c r="E35" s="37"/>
    </row>
    <row r="36" spans="1:5" ht="16.5" x14ac:dyDescent="0.3">
      <c r="A36" s="37">
        <f t="shared" si="1"/>
        <v>32</v>
      </c>
      <c r="B36" s="37" t="s">
        <v>40</v>
      </c>
      <c r="C36" s="37" t="s">
        <v>26</v>
      </c>
      <c r="D36" s="37"/>
      <c r="E36" s="37"/>
    </row>
    <row r="37" spans="1:5" ht="16.5" x14ac:dyDescent="0.3">
      <c r="A37" s="37">
        <f t="shared" si="1"/>
        <v>33</v>
      </c>
      <c r="B37" s="37" t="s">
        <v>189</v>
      </c>
      <c r="C37" s="37" t="s">
        <v>190</v>
      </c>
      <c r="D37" s="37"/>
      <c r="E37" s="37"/>
    </row>
    <row r="38" spans="1:5" ht="16.5" x14ac:dyDescent="0.3">
      <c r="A38" s="37">
        <f t="shared" si="1"/>
        <v>34</v>
      </c>
      <c r="B38" s="37" t="s">
        <v>50</v>
      </c>
      <c r="C38" s="37" t="s">
        <v>45</v>
      </c>
      <c r="D38" s="37"/>
      <c r="E38" s="37"/>
    </row>
    <row r="39" spans="1:5" ht="16.5" x14ac:dyDescent="0.3">
      <c r="A39" s="37">
        <f t="shared" si="1"/>
        <v>35</v>
      </c>
      <c r="B39" s="37" t="s">
        <v>191</v>
      </c>
      <c r="C39" s="37" t="s">
        <v>49</v>
      </c>
      <c r="D39" s="37"/>
      <c r="E39" s="37"/>
    </row>
    <row r="40" spans="1:5" ht="16.5" x14ac:dyDescent="0.3">
      <c r="A40" s="37">
        <f t="shared" si="1"/>
        <v>36</v>
      </c>
      <c r="B40" s="37" t="s">
        <v>192</v>
      </c>
      <c r="C40" s="37" t="s">
        <v>193</v>
      </c>
      <c r="D40" s="37"/>
      <c r="E40" s="37"/>
    </row>
    <row r="41" spans="1:5" ht="16.5" x14ac:dyDescent="0.3">
      <c r="A41" s="37">
        <f t="shared" si="1"/>
        <v>37</v>
      </c>
      <c r="B41" s="37" t="s">
        <v>194</v>
      </c>
      <c r="C41" s="37" t="s">
        <v>195</v>
      </c>
      <c r="D41" s="37"/>
      <c r="E41" s="37"/>
    </row>
    <row r="42" spans="1:5" ht="16.5" x14ac:dyDescent="0.3">
      <c r="A42" s="37">
        <f t="shared" si="1"/>
        <v>38</v>
      </c>
      <c r="B42" s="37" t="s">
        <v>196</v>
      </c>
      <c r="C42" s="37" t="s">
        <v>31</v>
      </c>
      <c r="D42" s="37"/>
      <c r="E42" s="37"/>
    </row>
    <row r="43" spans="1:5" ht="16.5" x14ac:dyDescent="0.3">
      <c r="A43" s="37">
        <f t="shared" si="1"/>
        <v>39</v>
      </c>
      <c r="B43" s="37" t="s">
        <v>197</v>
      </c>
      <c r="C43" s="37" t="s">
        <v>198</v>
      </c>
      <c r="D43" s="37"/>
      <c r="E43" s="37"/>
    </row>
    <row r="44" spans="1:5" ht="16.5" x14ac:dyDescent="0.3">
      <c r="A44" s="37">
        <f t="shared" si="1"/>
        <v>40</v>
      </c>
      <c r="B44" s="37" t="s">
        <v>199</v>
      </c>
      <c r="C44" s="37" t="s">
        <v>46</v>
      </c>
      <c r="D44" s="37"/>
      <c r="E44" s="37"/>
    </row>
    <row r="45" spans="1:5" ht="16.5" x14ac:dyDescent="0.3">
      <c r="A45" s="37">
        <f t="shared" si="1"/>
        <v>41</v>
      </c>
      <c r="B45" s="37" t="s">
        <v>200</v>
      </c>
      <c r="C45" s="37" t="s">
        <v>201</v>
      </c>
      <c r="D45" s="37"/>
      <c r="E45" s="37"/>
    </row>
    <row r="46" spans="1:5" ht="16.5" x14ac:dyDescent="0.3">
      <c r="A46" s="37">
        <f t="shared" si="1"/>
        <v>42</v>
      </c>
      <c r="B46" s="37" t="s">
        <v>202</v>
      </c>
      <c r="C46" s="37" t="s">
        <v>52</v>
      </c>
      <c r="D46" s="37"/>
      <c r="E46" s="37"/>
    </row>
    <row r="47" spans="1:5" ht="16.5" x14ac:dyDescent="0.3">
      <c r="A47" s="37">
        <f t="shared" si="1"/>
        <v>43</v>
      </c>
      <c r="B47" s="37" t="s">
        <v>203</v>
      </c>
      <c r="C47" s="37" t="s">
        <v>204</v>
      </c>
      <c r="D47" s="37"/>
      <c r="E47" s="37"/>
    </row>
    <row r="48" spans="1:5" ht="16.5" x14ac:dyDescent="0.3">
      <c r="A48" s="37">
        <f t="shared" si="1"/>
        <v>44</v>
      </c>
      <c r="B48" s="37" t="s">
        <v>55</v>
      </c>
      <c r="C48" s="37" t="s">
        <v>201</v>
      </c>
      <c r="D48" s="37"/>
      <c r="E48" s="37"/>
    </row>
    <row r="49" spans="1:5" ht="16.5" x14ac:dyDescent="0.3">
      <c r="A49" s="37">
        <f t="shared" si="1"/>
        <v>45</v>
      </c>
      <c r="B49" s="37" t="s">
        <v>205</v>
      </c>
      <c r="C49" s="37" t="s">
        <v>206</v>
      </c>
      <c r="D49" s="37"/>
      <c r="E49" s="37"/>
    </row>
    <row r="50" spans="1:5" ht="16.5" x14ac:dyDescent="0.3">
      <c r="A50" s="37">
        <f t="shared" si="1"/>
        <v>46</v>
      </c>
      <c r="B50" s="37" t="s">
        <v>22</v>
      </c>
      <c r="C50" s="37" t="s">
        <v>177</v>
      </c>
      <c r="D50" s="37"/>
      <c r="E50" s="37"/>
    </row>
    <row r="51" spans="1:5" ht="16.5" x14ac:dyDescent="0.3">
      <c r="A51" s="37">
        <f t="shared" si="1"/>
        <v>47</v>
      </c>
      <c r="B51" s="37" t="s">
        <v>207</v>
      </c>
      <c r="C51" s="37" t="s">
        <v>47</v>
      </c>
      <c r="D51" s="37"/>
      <c r="E51" s="37"/>
    </row>
    <row r="52" spans="1:5" ht="16.5" x14ac:dyDescent="0.3">
      <c r="A52" s="37">
        <f t="shared" si="1"/>
        <v>48</v>
      </c>
      <c r="B52" s="37" t="s">
        <v>208</v>
      </c>
      <c r="C52" s="37" t="s">
        <v>209</v>
      </c>
      <c r="D52" s="37"/>
      <c r="E52" s="37"/>
    </row>
    <row r="53" spans="1:5" ht="16.5" x14ac:dyDescent="0.3">
      <c r="A53" s="37">
        <f t="shared" si="1"/>
        <v>49</v>
      </c>
      <c r="B53" s="37" t="s">
        <v>210</v>
      </c>
      <c r="C53" s="37" t="s">
        <v>211</v>
      </c>
      <c r="D53" s="37"/>
      <c r="E53" s="37"/>
    </row>
    <row r="54" spans="1:5" ht="16.5" x14ac:dyDescent="0.3">
      <c r="A54" s="37">
        <f t="shared" si="1"/>
        <v>50</v>
      </c>
      <c r="B54" s="37" t="s">
        <v>212</v>
      </c>
      <c r="C54" s="37" t="s">
        <v>213</v>
      </c>
      <c r="D54" s="37"/>
      <c r="E54" s="37"/>
    </row>
    <row r="55" spans="1:5" ht="16.5" x14ac:dyDescent="0.3">
      <c r="A55" s="37">
        <f t="shared" si="1"/>
        <v>51</v>
      </c>
      <c r="B55" s="37" t="s">
        <v>214</v>
      </c>
      <c r="C55" s="37" t="s">
        <v>215</v>
      </c>
      <c r="D55" s="37"/>
      <c r="E55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C12" sqref="C12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38" t="s">
        <v>32</v>
      </c>
      <c r="B2" s="138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133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IFERROR(VLOOKUP(B6,BD!B5:E55,2,FALSE),"aucune valeur trouvée pour cette donnée")</f>
        <v>MAKANGA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IFERROR(VLOOKUP(B6,BD!B5:E55,3,FALSE),"aucune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IFERROR(VLOOKUP(B6,BD!B5:E55,4,FALSE),"aucune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7.3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60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BD!$B$5:$B$55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8"/>
  <sheetViews>
    <sheetView workbookViewId="0">
      <selection activeCell="V2" sqref="V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42578125" style="12" customWidth="1"/>
    <col min="21" max="21" width="7" style="12" customWidth="1"/>
    <col min="22" max="16384" width="11.42578125" style="12"/>
  </cols>
  <sheetData>
    <row r="1" spans="1:22" ht="31.5" x14ac:dyDescent="0.5">
      <c r="A1" s="139" t="s">
        <v>128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</row>
    <row r="2" spans="1:22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116</v>
      </c>
      <c r="L2" s="65" t="s">
        <v>70</v>
      </c>
      <c r="M2" s="65" t="s">
        <v>117</v>
      </c>
      <c r="N2" s="65" t="s">
        <v>90</v>
      </c>
      <c r="O2" s="65" t="s">
        <v>118</v>
      </c>
      <c r="P2" s="66" t="s">
        <v>84</v>
      </c>
      <c r="Q2" s="66" t="s">
        <v>68</v>
      </c>
      <c r="R2" s="66" t="s">
        <v>119</v>
      </c>
      <c r="S2" s="66" t="s">
        <v>67</v>
      </c>
      <c r="T2" s="66" t="s">
        <v>120</v>
      </c>
      <c r="U2" s="66" t="s">
        <v>21</v>
      </c>
    </row>
    <row r="3" spans="1:22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114</v>
      </c>
      <c r="L3" s="70" t="s">
        <v>115</v>
      </c>
      <c r="M3" s="70" t="s">
        <v>98</v>
      </c>
      <c r="N3" s="70" t="s">
        <v>99</v>
      </c>
      <c r="O3" s="70" t="s">
        <v>100</v>
      </c>
      <c r="P3" s="70" t="s">
        <v>101</v>
      </c>
      <c r="Q3" s="70" t="s">
        <v>102</v>
      </c>
      <c r="R3" s="70" t="s">
        <v>103</v>
      </c>
      <c r="S3" s="70" t="s">
        <v>104</v>
      </c>
      <c r="T3" s="70" t="s">
        <v>105</v>
      </c>
      <c r="U3" s="70" t="s">
        <v>107</v>
      </c>
    </row>
    <row r="4" spans="1:22" ht="17.25" thickBot="1" x14ac:dyDescent="0.35">
      <c r="A4" s="71" t="s">
        <v>43</v>
      </c>
      <c r="B4" s="71" t="s">
        <v>44</v>
      </c>
      <c r="C4" s="72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>
        <v>100</v>
      </c>
      <c r="U4" s="73">
        <v>13.9</v>
      </c>
    </row>
    <row r="5" spans="1:22" ht="17.25" thickBot="1" x14ac:dyDescent="0.35">
      <c r="A5" s="71" t="s">
        <v>43</v>
      </c>
      <c r="B5" s="71" t="s">
        <v>42</v>
      </c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>
        <v>0</v>
      </c>
    </row>
    <row r="6" spans="1:22" ht="17.25" thickBot="1" x14ac:dyDescent="0.35">
      <c r="A6" s="74" t="s">
        <v>43</v>
      </c>
      <c r="B6" s="74" t="s">
        <v>44</v>
      </c>
      <c r="C6" s="72">
        <v>20</v>
      </c>
      <c r="D6" s="73">
        <v>15</v>
      </c>
      <c r="E6" s="73">
        <v>8</v>
      </c>
      <c r="F6" s="73">
        <v>5</v>
      </c>
      <c r="G6" s="73">
        <v>8</v>
      </c>
      <c r="H6" s="73"/>
      <c r="I6" s="73"/>
      <c r="J6" s="73"/>
      <c r="K6" s="73"/>
      <c r="L6" s="73"/>
      <c r="M6" s="73">
        <v>9</v>
      </c>
      <c r="N6" s="73">
        <v>10</v>
      </c>
      <c r="O6" s="73">
        <v>9</v>
      </c>
      <c r="P6" s="73">
        <v>9</v>
      </c>
      <c r="Q6" s="73">
        <v>15</v>
      </c>
      <c r="R6" s="73">
        <v>60</v>
      </c>
      <c r="S6" s="73">
        <v>15</v>
      </c>
      <c r="T6" s="73">
        <v>15</v>
      </c>
      <c r="U6" s="73">
        <v>15</v>
      </c>
    </row>
    <row r="7" spans="1:22" ht="17.25" thickBot="1" x14ac:dyDescent="0.35">
      <c r="A7" s="74" t="s">
        <v>41</v>
      </c>
      <c r="B7" s="74" t="s">
        <v>42</v>
      </c>
      <c r="C7" s="72">
        <v>20</v>
      </c>
      <c r="D7" s="73">
        <v>15</v>
      </c>
      <c r="E7" s="73">
        <v>8</v>
      </c>
      <c r="F7" s="73">
        <v>7</v>
      </c>
      <c r="G7" s="73">
        <v>7</v>
      </c>
      <c r="H7" s="73"/>
      <c r="I7" s="73"/>
      <c r="J7" s="73"/>
      <c r="K7" s="73"/>
      <c r="L7" s="73"/>
      <c r="M7" s="73">
        <v>10</v>
      </c>
      <c r="N7" s="73">
        <v>9</v>
      </c>
      <c r="O7" s="73">
        <v>9</v>
      </c>
      <c r="P7" s="73">
        <v>5</v>
      </c>
      <c r="Q7" s="73">
        <v>15</v>
      </c>
      <c r="R7" s="73">
        <v>55</v>
      </c>
      <c r="S7" s="73">
        <v>15</v>
      </c>
      <c r="T7" s="73">
        <v>15</v>
      </c>
      <c r="U7" s="73">
        <v>20</v>
      </c>
    </row>
    <row r="8" spans="1:22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</row>
  </sheetData>
  <mergeCells count="1">
    <mergeCell ref="A1:V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6"/>
  <sheetViews>
    <sheetView tabSelected="1" workbookViewId="0">
      <selection activeCell="V2" sqref="V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42578125" style="12" customWidth="1"/>
    <col min="21" max="21" width="7" style="12" customWidth="1"/>
    <col min="22" max="16384" width="11.42578125" style="12"/>
  </cols>
  <sheetData>
    <row r="1" spans="1:22" ht="31.5" x14ac:dyDescent="0.5">
      <c r="A1" s="139" t="s">
        <v>129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</row>
    <row r="2" spans="1:22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116</v>
      </c>
      <c r="L2" s="65" t="s">
        <v>70</v>
      </c>
      <c r="M2" s="65" t="s">
        <v>117</v>
      </c>
      <c r="N2" s="65" t="s">
        <v>90</v>
      </c>
      <c r="O2" s="65" t="s">
        <v>118</v>
      </c>
      <c r="P2" s="66" t="s">
        <v>84</v>
      </c>
      <c r="Q2" s="66" t="s">
        <v>68</v>
      </c>
      <c r="R2" s="66" t="s">
        <v>119</v>
      </c>
      <c r="S2" s="66" t="s">
        <v>67</v>
      </c>
      <c r="T2" s="66" t="s">
        <v>120</v>
      </c>
      <c r="U2" s="66" t="s">
        <v>21</v>
      </c>
    </row>
    <row r="3" spans="1:22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114</v>
      </c>
      <c r="L3" s="70" t="s">
        <v>115</v>
      </c>
      <c r="M3" s="70" t="s">
        <v>98</v>
      </c>
      <c r="N3" s="70" t="s">
        <v>99</v>
      </c>
      <c r="O3" s="70" t="s">
        <v>100</v>
      </c>
      <c r="P3" s="70" t="s">
        <v>101</v>
      </c>
      <c r="Q3" s="70" t="s">
        <v>102</v>
      </c>
      <c r="R3" s="70" t="s">
        <v>103</v>
      </c>
      <c r="S3" s="70" t="s">
        <v>104</v>
      </c>
      <c r="T3" s="70" t="s">
        <v>105</v>
      </c>
      <c r="U3" s="70" t="s">
        <v>107</v>
      </c>
    </row>
    <row r="4" spans="1:22" ht="17.25" thickBot="1" x14ac:dyDescent="0.35">
      <c r="A4" s="74" t="s">
        <v>43</v>
      </c>
      <c r="B4" s="74" t="s">
        <v>44</v>
      </c>
      <c r="C4" s="72">
        <v>20</v>
      </c>
      <c r="D4" s="73">
        <v>15</v>
      </c>
      <c r="E4" s="73">
        <v>8</v>
      </c>
      <c r="F4" s="73">
        <v>5</v>
      </c>
      <c r="G4" s="73">
        <v>8</v>
      </c>
      <c r="H4" s="73"/>
      <c r="I4" s="73"/>
      <c r="J4" s="73"/>
      <c r="K4" s="73"/>
      <c r="L4" s="73"/>
      <c r="M4" s="73">
        <v>9</v>
      </c>
      <c r="N4" s="73">
        <v>10</v>
      </c>
      <c r="O4" s="73">
        <v>9</v>
      </c>
      <c r="P4" s="73">
        <v>9</v>
      </c>
      <c r="Q4" s="73">
        <v>15</v>
      </c>
      <c r="R4" s="73">
        <v>60</v>
      </c>
      <c r="S4" s="73">
        <v>15</v>
      </c>
      <c r="T4" s="73">
        <v>15</v>
      </c>
      <c r="U4" s="73">
        <v>15</v>
      </c>
    </row>
    <row r="5" spans="1:22" ht="17.25" thickBot="1" x14ac:dyDescent="0.35">
      <c r="A5" s="74" t="s">
        <v>41</v>
      </c>
      <c r="B5" s="74" t="s">
        <v>42</v>
      </c>
      <c r="C5" s="72">
        <v>20</v>
      </c>
      <c r="D5" s="73">
        <v>15</v>
      </c>
      <c r="E5" s="73">
        <v>8</v>
      </c>
      <c r="F5" s="73">
        <v>7</v>
      </c>
      <c r="G5" s="73">
        <v>7</v>
      </c>
      <c r="H5" s="73"/>
      <c r="I5" s="73"/>
      <c r="J5" s="73"/>
      <c r="K5" s="73"/>
      <c r="L5" s="73"/>
      <c r="M5" s="73">
        <v>10</v>
      </c>
      <c r="N5" s="73">
        <v>9</v>
      </c>
      <c r="O5" s="73">
        <v>9</v>
      </c>
      <c r="P5" s="73">
        <v>5</v>
      </c>
      <c r="Q5" s="73">
        <v>15</v>
      </c>
      <c r="R5" s="73">
        <v>55</v>
      </c>
      <c r="S5" s="73">
        <v>15</v>
      </c>
      <c r="T5" s="73">
        <v>15</v>
      </c>
      <c r="U5" s="73">
        <v>20</v>
      </c>
    </row>
    <row r="6" spans="1:22" x14ac:dyDescent="0.25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</row>
  </sheetData>
  <mergeCells count="1">
    <mergeCell ref="A1:V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X8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21" width="4.5703125" style="12" customWidth="1"/>
    <col min="22" max="22" width="5.140625" style="12" customWidth="1"/>
    <col min="23" max="23" width="7" style="12" customWidth="1"/>
    <col min="24" max="16384" width="11.42578125" style="12"/>
  </cols>
  <sheetData>
    <row r="1" spans="1:24" ht="31.5" x14ac:dyDescent="0.5">
      <c r="A1" s="139" t="s">
        <v>130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64"/>
    </row>
    <row r="2" spans="1:24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91</v>
      </c>
      <c r="L2" s="65" t="s">
        <v>116</v>
      </c>
      <c r="M2" s="65" t="s">
        <v>70</v>
      </c>
      <c r="N2" s="65" t="s">
        <v>117</v>
      </c>
      <c r="O2" s="65" t="s">
        <v>90</v>
      </c>
      <c r="P2" s="65" t="s">
        <v>118</v>
      </c>
      <c r="Q2" s="66" t="s">
        <v>84</v>
      </c>
      <c r="R2" s="66" t="s">
        <v>68</v>
      </c>
      <c r="S2" s="66" t="s">
        <v>119</v>
      </c>
      <c r="T2" s="66" t="s">
        <v>67</v>
      </c>
      <c r="U2" s="66" t="s">
        <v>120</v>
      </c>
      <c r="V2" s="66" t="s">
        <v>92</v>
      </c>
      <c r="W2" s="66" t="s">
        <v>21</v>
      </c>
    </row>
    <row r="3" spans="1:24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113</v>
      </c>
      <c r="L3" s="70" t="s">
        <v>114</v>
      </c>
      <c r="M3" s="70" t="s">
        <v>115</v>
      </c>
      <c r="N3" s="70" t="s">
        <v>98</v>
      </c>
      <c r="O3" s="70" t="s">
        <v>99</v>
      </c>
      <c r="P3" s="70" t="s">
        <v>100</v>
      </c>
      <c r="Q3" s="70" t="s">
        <v>101</v>
      </c>
      <c r="R3" s="70" t="s">
        <v>102</v>
      </c>
      <c r="S3" s="70" t="s">
        <v>103</v>
      </c>
      <c r="T3" s="70" t="s">
        <v>104</v>
      </c>
      <c r="U3" s="70" t="s">
        <v>105</v>
      </c>
      <c r="V3" s="70" t="s">
        <v>106</v>
      </c>
      <c r="W3" s="70" t="s">
        <v>107</v>
      </c>
    </row>
    <row r="4" spans="1:24" ht="17.25" thickBot="1" x14ac:dyDescent="0.35">
      <c r="A4" s="71" t="s">
        <v>34</v>
      </c>
      <c r="B4" s="71" t="s">
        <v>35</v>
      </c>
      <c r="C4" s="72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>
        <v>100</v>
      </c>
      <c r="W4" s="73">
        <v>27.8</v>
      </c>
    </row>
    <row r="5" spans="1:24" ht="17.25" thickBot="1" x14ac:dyDescent="0.35">
      <c r="A5" s="71" t="s">
        <v>34</v>
      </c>
      <c r="B5" s="71" t="s">
        <v>35</v>
      </c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>
        <v>0</v>
      </c>
    </row>
    <row r="6" spans="1:24" ht="17.25" thickBot="1" x14ac:dyDescent="0.35">
      <c r="A6" s="74" t="s">
        <v>43</v>
      </c>
      <c r="B6" s="74" t="s">
        <v>44</v>
      </c>
      <c r="C6" s="72">
        <v>20</v>
      </c>
      <c r="D6" s="73">
        <v>15</v>
      </c>
      <c r="E6" s="73">
        <v>8</v>
      </c>
      <c r="F6" s="73">
        <v>5</v>
      </c>
      <c r="G6" s="73">
        <v>8</v>
      </c>
      <c r="H6" s="73"/>
      <c r="I6" s="73"/>
      <c r="J6" s="73"/>
      <c r="K6" s="73"/>
      <c r="L6" s="73"/>
      <c r="M6" s="73"/>
      <c r="N6" s="73">
        <v>9</v>
      </c>
      <c r="O6" s="73">
        <v>10</v>
      </c>
      <c r="P6" s="73">
        <v>9</v>
      </c>
      <c r="Q6" s="73">
        <v>9</v>
      </c>
      <c r="R6" s="73">
        <v>15</v>
      </c>
      <c r="S6" s="73">
        <v>60</v>
      </c>
      <c r="T6" s="73">
        <v>15</v>
      </c>
      <c r="U6" s="73">
        <v>15</v>
      </c>
      <c r="V6" s="73"/>
      <c r="W6" s="73">
        <v>15</v>
      </c>
    </row>
    <row r="7" spans="1:24" ht="17.25" thickBot="1" x14ac:dyDescent="0.35">
      <c r="A7" s="74" t="s">
        <v>41</v>
      </c>
      <c r="B7" s="74" t="s">
        <v>42</v>
      </c>
      <c r="C7" s="72">
        <v>20</v>
      </c>
      <c r="D7" s="73">
        <v>15</v>
      </c>
      <c r="E7" s="73">
        <v>8</v>
      </c>
      <c r="F7" s="73">
        <v>7</v>
      </c>
      <c r="G7" s="73">
        <v>7</v>
      </c>
      <c r="H7" s="73"/>
      <c r="I7" s="73"/>
      <c r="J7" s="73"/>
      <c r="K7" s="73"/>
      <c r="L7" s="73"/>
      <c r="M7" s="73"/>
      <c r="N7" s="73">
        <v>10</v>
      </c>
      <c r="O7" s="73">
        <v>9</v>
      </c>
      <c r="P7" s="73">
        <v>9</v>
      </c>
      <c r="Q7" s="73">
        <v>5</v>
      </c>
      <c r="R7" s="73">
        <v>15</v>
      </c>
      <c r="S7" s="73">
        <v>55</v>
      </c>
      <c r="T7" s="73">
        <v>15</v>
      </c>
      <c r="U7" s="73">
        <v>15</v>
      </c>
      <c r="V7" s="73"/>
      <c r="W7" s="73">
        <v>20</v>
      </c>
    </row>
    <row r="8" spans="1:24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</row>
  </sheetData>
  <mergeCells count="1">
    <mergeCell ref="A1:W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1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21" width="4.5703125" style="12" customWidth="1"/>
    <col min="22" max="22" width="5.140625" style="12" customWidth="1"/>
    <col min="23" max="23" width="7" style="12" customWidth="1"/>
    <col min="24" max="16384" width="11.42578125" style="12"/>
  </cols>
  <sheetData>
    <row r="1" spans="1:24" ht="31.5" x14ac:dyDescent="0.5">
      <c r="A1" s="139" t="s">
        <v>131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64"/>
    </row>
    <row r="2" spans="1:24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91</v>
      </c>
      <c r="L2" s="65" t="s">
        <v>116</v>
      </c>
      <c r="M2" s="65" t="s">
        <v>70</v>
      </c>
      <c r="N2" s="65" t="s">
        <v>117</v>
      </c>
      <c r="O2" s="65" t="s">
        <v>90</v>
      </c>
      <c r="P2" s="65" t="s">
        <v>118</v>
      </c>
      <c r="Q2" s="66" t="s">
        <v>84</v>
      </c>
      <c r="R2" s="66" t="s">
        <v>68</v>
      </c>
      <c r="S2" s="66" t="s">
        <v>119</v>
      </c>
      <c r="T2" s="66" t="s">
        <v>67</v>
      </c>
      <c r="U2" s="66" t="s">
        <v>120</v>
      </c>
      <c r="V2" s="66" t="s">
        <v>92</v>
      </c>
      <c r="W2" s="66" t="s">
        <v>21</v>
      </c>
    </row>
    <row r="3" spans="1:24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113</v>
      </c>
      <c r="L3" s="70" t="s">
        <v>114</v>
      </c>
      <c r="M3" s="70" t="s">
        <v>115</v>
      </c>
      <c r="N3" s="70" t="s">
        <v>98</v>
      </c>
      <c r="O3" s="70" t="s">
        <v>99</v>
      </c>
      <c r="P3" s="70" t="s">
        <v>100</v>
      </c>
      <c r="Q3" s="70" t="s">
        <v>101</v>
      </c>
      <c r="R3" s="70" t="s">
        <v>102</v>
      </c>
      <c r="S3" s="70" t="s">
        <v>103</v>
      </c>
      <c r="T3" s="70" t="s">
        <v>104</v>
      </c>
      <c r="U3" s="70" t="s">
        <v>105</v>
      </c>
      <c r="V3" s="70" t="s">
        <v>106</v>
      </c>
      <c r="W3" s="70" t="s">
        <v>107</v>
      </c>
    </row>
    <row r="4" spans="1:24" ht="17.25" thickBot="1" x14ac:dyDescent="0.35">
      <c r="A4" s="71" t="s">
        <v>41</v>
      </c>
      <c r="B4" s="71" t="s">
        <v>42</v>
      </c>
      <c r="C4" s="72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>
        <v>100</v>
      </c>
      <c r="W4" s="73">
        <v>27.8</v>
      </c>
    </row>
    <row r="5" spans="1:24" ht="17.25" thickBot="1" x14ac:dyDescent="0.35">
      <c r="A5" s="71" t="s">
        <v>24</v>
      </c>
      <c r="B5" s="71" t="s">
        <v>25</v>
      </c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>
        <v>0</v>
      </c>
    </row>
    <row r="6" spans="1:24" ht="17.25" thickBot="1" x14ac:dyDescent="0.35">
      <c r="A6" s="71" t="s">
        <v>24</v>
      </c>
      <c r="B6" s="71" t="s">
        <v>25</v>
      </c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>
        <v>100</v>
      </c>
      <c r="W6" s="73">
        <v>27.8</v>
      </c>
    </row>
    <row r="7" spans="1:24" ht="17.25" thickBot="1" x14ac:dyDescent="0.35">
      <c r="A7" s="71" t="s">
        <v>24</v>
      </c>
      <c r="B7" s="71" t="s">
        <v>25</v>
      </c>
      <c r="C7" s="72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>
        <v>0</v>
      </c>
    </row>
    <row r="8" spans="1:24" ht="17.25" thickBot="1" x14ac:dyDescent="0.35">
      <c r="A8" s="71" t="s">
        <v>24</v>
      </c>
      <c r="B8" s="71" t="s">
        <v>25</v>
      </c>
      <c r="C8" s="72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</row>
    <row r="9" spans="1:24" ht="17.25" thickBot="1" x14ac:dyDescent="0.35">
      <c r="A9" s="74" t="s">
        <v>43</v>
      </c>
      <c r="B9" s="74" t="s">
        <v>44</v>
      </c>
      <c r="C9" s="72">
        <v>20</v>
      </c>
      <c r="D9" s="73">
        <v>15</v>
      </c>
      <c r="E9" s="73">
        <v>8</v>
      </c>
      <c r="F9" s="73">
        <v>5</v>
      </c>
      <c r="G9" s="73">
        <v>8</v>
      </c>
      <c r="H9" s="73"/>
      <c r="I9" s="73"/>
      <c r="J9" s="73"/>
      <c r="K9" s="73"/>
      <c r="L9" s="73"/>
      <c r="M9" s="73"/>
      <c r="N9" s="73">
        <v>9</v>
      </c>
      <c r="O9" s="73">
        <v>10</v>
      </c>
      <c r="P9" s="73">
        <v>9</v>
      </c>
      <c r="Q9" s="73">
        <v>9</v>
      </c>
      <c r="R9" s="73">
        <v>15</v>
      </c>
      <c r="S9" s="73">
        <v>60</v>
      </c>
      <c r="T9" s="73">
        <v>15</v>
      </c>
      <c r="U9" s="73">
        <v>15</v>
      </c>
      <c r="V9" s="73"/>
      <c r="W9" s="73">
        <v>15</v>
      </c>
    </row>
    <row r="10" spans="1:24" ht="17.25" thickBot="1" x14ac:dyDescent="0.35">
      <c r="A10" s="74" t="s">
        <v>41</v>
      </c>
      <c r="B10" s="74" t="s">
        <v>42</v>
      </c>
      <c r="C10" s="72">
        <v>20</v>
      </c>
      <c r="D10" s="73">
        <v>15</v>
      </c>
      <c r="E10" s="73">
        <v>8</v>
      </c>
      <c r="F10" s="73">
        <v>7</v>
      </c>
      <c r="G10" s="73">
        <v>7</v>
      </c>
      <c r="H10" s="73"/>
      <c r="I10" s="73"/>
      <c r="J10" s="73"/>
      <c r="K10" s="73"/>
      <c r="L10" s="73"/>
      <c r="M10" s="73"/>
      <c r="N10" s="73">
        <v>10</v>
      </c>
      <c r="O10" s="73">
        <v>9</v>
      </c>
      <c r="P10" s="73">
        <v>9</v>
      </c>
      <c r="Q10" s="73">
        <v>5</v>
      </c>
      <c r="R10" s="73">
        <v>15</v>
      </c>
      <c r="S10" s="73">
        <v>55</v>
      </c>
      <c r="T10" s="73">
        <v>15</v>
      </c>
      <c r="U10" s="73">
        <v>15</v>
      </c>
      <c r="V10" s="73"/>
      <c r="W10" s="73">
        <v>20</v>
      </c>
    </row>
    <row r="11" spans="1:24" x14ac:dyDescent="0.25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</row>
  </sheetData>
  <mergeCells count="1">
    <mergeCell ref="A1:W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X9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21" width="4.5703125" style="12" customWidth="1"/>
    <col min="22" max="22" width="5.140625" style="12" customWidth="1"/>
    <col min="23" max="23" width="7" style="12" customWidth="1"/>
    <col min="24" max="16384" width="11.42578125" style="12"/>
  </cols>
  <sheetData>
    <row r="1" spans="1:24" ht="31.5" x14ac:dyDescent="0.5">
      <c r="A1" s="139" t="s">
        <v>132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64"/>
    </row>
    <row r="2" spans="1:24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91</v>
      </c>
      <c r="L2" s="65" t="s">
        <v>116</v>
      </c>
      <c r="M2" s="65" t="s">
        <v>70</v>
      </c>
      <c r="N2" s="65" t="s">
        <v>117</v>
      </c>
      <c r="O2" s="65" t="s">
        <v>90</v>
      </c>
      <c r="P2" s="65" t="s">
        <v>118</v>
      </c>
      <c r="Q2" s="66" t="s">
        <v>84</v>
      </c>
      <c r="R2" s="66" t="s">
        <v>68</v>
      </c>
      <c r="S2" s="66" t="s">
        <v>119</v>
      </c>
      <c r="T2" s="66" t="s">
        <v>67</v>
      </c>
      <c r="U2" s="66" t="s">
        <v>120</v>
      </c>
      <c r="V2" s="66" t="s">
        <v>92</v>
      </c>
      <c r="W2" s="66" t="s">
        <v>21</v>
      </c>
    </row>
    <row r="3" spans="1:24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113</v>
      </c>
      <c r="L3" s="70" t="s">
        <v>114</v>
      </c>
      <c r="M3" s="70" t="s">
        <v>115</v>
      </c>
      <c r="N3" s="70" t="s">
        <v>98</v>
      </c>
      <c r="O3" s="70" t="s">
        <v>99</v>
      </c>
      <c r="P3" s="70" t="s">
        <v>100</v>
      </c>
      <c r="Q3" s="70" t="s">
        <v>101</v>
      </c>
      <c r="R3" s="70" t="s">
        <v>102</v>
      </c>
      <c r="S3" s="70" t="s">
        <v>103</v>
      </c>
      <c r="T3" s="70" t="s">
        <v>104</v>
      </c>
      <c r="U3" s="70" t="s">
        <v>105</v>
      </c>
      <c r="V3" s="70" t="s">
        <v>106</v>
      </c>
      <c r="W3" s="70" t="s">
        <v>107</v>
      </c>
    </row>
    <row r="4" spans="1:24" ht="17.25" thickBot="1" x14ac:dyDescent="0.35">
      <c r="A4" s="71" t="s">
        <v>24</v>
      </c>
      <c r="B4" s="71" t="s">
        <v>25</v>
      </c>
      <c r="C4" s="72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>
        <v>100</v>
      </c>
      <c r="W4" s="73">
        <v>27.8</v>
      </c>
    </row>
    <row r="5" spans="1:24" ht="17.25" thickBot="1" x14ac:dyDescent="0.35">
      <c r="A5" s="71" t="s">
        <v>24</v>
      </c>
      <c r="B5" s="71" t="s">
        <v>25</v>
      </c>
      <c r="C5" s="72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>
        <v>0</v>
      </c>
    </row>
    <row r="6" spans="1:24" ht="17.25" thickBot="1" x14ac:dyDescent="0.35">
      <c r="A6" s="71" t="s">
        <v>24</v>
      </c>
      <c r="B6" s="71" t="s">
        <v>25</v>
      </c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</row>
    <row r="7" spans="1:24" ht="17.25" thickBot="1" x14ac:dyDescent="0.35">
      <c r="A7" s="74" t="s">
        <v>43</v>
      </c>
      <c r="B7" s="74" t="s">
        <v>44</v>
      </c>
      <c r="C7" s="72">
        <v>20</v>
      </c>
      <c r="D7" s="73">
        <v>15</v>
      </c>
      <c r="E7" s="73">
        <v>8</v>
      </c>
      <c r="F7" s="73">
        <v>5</v>
      </c>
      <c r="G7" s="73">
        <v>8</v>
      </c>
      <c r="H7" s="73"/>
      <c r="I7" s="73"/>
      <c r="J7" s="73"/>
      <c r="K7" s="73"/>
      <c r="L7" s="73"/>
      <c r="M7" s="73"/>
      <c r="N7" s="73">
        <v>9</v>
      </c>
      <c r="O7" s="73">
        <v>10</v>
      </c>
      <c r="P7" s="73">
        <v>9</v>
      </c>
      <c r="Q7" s="73">
        <v>9</v>
      </c>
      <c r="R7" s="73">
        <v>15</v>
      </c>
      <c r="S7" s="73">
        <v>60</v>
      </c>
      <c r="T7" s="73">
        <v>15</v>
      </c>
      <c r="U7" s="73">
        <v>15</v>
      </c>
      <c r="V7" s="73"/>
      <c r="W7" s="73">
        <v>15</v>
      </c>
    </row>
    <row r="8" spans="1:24" ht="17.25" thickBot="1" x14ac:dyDescent="0.35">
      <c r="A8" s="74" t="s">
        <v>41</v>
      </c>
      <c r="B8" s="74" t="s">
        <v>42</v>
      </c>
      <c r="C8" s="72">
        <v>20</v>
      </c>
      <c r="D8" s="73">
        <v>15</v>
      </c>
      <c r="E8" s="73">
        <v>8</v>
      </c>
      <c r="F8" s="73">
        <v>7</v>
      </c>
      <c r="G8" s="73">
        <v>7</v>
      </c>
      <c r="H8" s="73"/>
      <c r="I8" s="73"/>
      <c r="J8" s="73"/>
      <c r="K8" s="73"/>
      <c r="L8" s="73"/>
      <c r="M8" s="73"/>
      <c r="N8" s="73">
        <v>10</v>
      </c>
      <c r="O8" s="73">
        <v>9</v>
      </c>
      <c r="P8" s="73">
        <v>9</v>
      </c>
      <c r="Q8" s="73">
        <v>5</v>
      </c>
      <c r="R8" s="73">
        <v>15</v>
      </c>
      <c r="S8" s="73">
        <v>55</v>
      </c>
      <c r="T8" s="73">
        <v>15</v>
      </c>
      <c r="U8" s="73">
        <v>15</v>
      </c>
      <c r="V8" s="73"/>
      <c r="W8" s="73">
        <v>20</v>
      </c>
    </row>
    <row r="9" spans="1:24" x14ac:dyDescent="0.2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</row>
  </sheetData>
  <mergeCells count="1">
    <mergeCell ref="A1:W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X10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21" width="4.5703125" style="12" customWidth="1"/>
    <col min="22" max="22" width="5.140625" style="12" customWidth="1"/>
    <col min="23" max="23" width="7" style="12" customWidth="1"/>
    <col min="24" max="16384" width="11.42578125" style="12"/>
  </cols>
  <sheetData>
    <row r="1" spans="1:24" ht="31.5" x14ac:dyDescent="0.5">
      <c r="A1" s="139" t="s">
        <v>85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64"/>
    </row>
    <row r="2" spans="1:24" ht="130.5" x14ac:dyDescent="0.25">
      <c r="A2" s="62"/>
      <c r="B2" s="62"/>
      <c r="C2" s="65" t="s">
        <v>86</v>
      </c>
      <c r="D2" s="65" t="s">
        <v>87</v>
      </c>
      <c r="E2" s="65" t="s">
        <v>88</v>
      </c>
      <c r="F2" s="65" t="s">
        <v>64</v>
      </c>
      <c r="G2" s="65" t="s">
        <v>89</v>
      </c>
      <c r="H2" s="65" t="s">
        <v>75</v>
      </c>
      <c r="I2" s="65" t="s">
        <v>111</v>
      </c>
      <c r="J2" s="65" t="s">
        <v>112</v>
      </c>
      <c r="K2" s="65" t="s">
        <v>91</v>
      </c>
      <c r="L2" s="65" t="s">
        <v>116</v>
      </c>
      <c r="M2" s="65" t="s">
        <v>70</v>
      </c>
      <c r="N2" s="65" t="s">
        <v>117</v>
      </c>
      <c r="O2" s="65" t="s">
        <v>90</v>
      </c>
      <c r="P2" s="65" t="s">
        <v>118</v>
      </c>
      <c r="Q2" s="66" t="s">
        <v>84</v>
      </c>
      <c r="R2" s="66" t="s">
        <v>68</v>
      </c>
      <c r="S2" s="66" t="s">
        <v>119</v>
      </c>
      <c r="T2" s="66" t="s">
        <v>67</v>
      </c>
      <c r="U2" s="66" t="s">
        <v>120</v>
      </c>
      <c r="V2" s="66" t="s">
        <v>92</v>
      </c>
      <c r="W2" s="66" t="s">
        <v>21</v>
      </c>
    </row>
    <row r="3" spans="1:24" ht="17.25" thickBot="1" x14ac:dyDescent="0.35">
      <c r="A3" s="67" t="s">
        <v>19</v>
      </c>
      <c r="B3" s="68" t="s">
        <v>18</v>
      </c>
      <c r="C3" s="69" t="s">
        <v>93</v>
      </c>
      <c r="D3" s="70" t="s">
        <v>94</v>
      </c>
      <c r="E3" s="70" t="s">
        <v>95</v>
      </c>
      <c r="F3" s="70" t="s">
        <v>96</v>
      </c>
      <c r="G3" s="70" t="s">
        <v>97</v>
      </c>
      <c r="H3" s="70" t="s">
        <v>108</v>
      </c>
      <c r="I3" s="70" t="s">
        <v>109</v>
      </c>
      <c r="J3" s="70" t="s">
        <v>110</v>
      </c>
      <c r="K3" s="70" t="s">
        <v>113</v>
      </c>
      <c r="L3" s="70" t="s">
        <v>114</v>
      </c>
      <c r="M3" s="70" t="s">
        <v>115</v>
      </c>
      <c r="N3" s="70" t="s">
        <v>98</v>
      </c>
      <c r="O3" s="70" t="s">
        <v>99</v>
      </c>
      <c r="P3" s="70" t="s">
        <v>100</v>
      </c>
      <c r="Q3" s="70" t="s">
        <v>101</v>
      </c>
      <c r="R3" s="70" t="s">
        <v>102</v>
      </c>
      <c r="S3" s="70" t="s">
        <v>103</v>
      </c>
      <c r="T3" s="70" t="s">
        <v>104</v>
      </c>
      <c r="U3" s="70" t="s">
        <v>105</v>
      </c>
      <c r="V3" s="70" t="s">
        <v>106</v>
      </c>
      <c r="W3" s="70" t="s">
        <v>107</v>
      </c>
    </row>
    <row r="4" spans="1:24" ht="17.25" thickBot="1" x14ac:dyDescent="0.35">
      <c r="A4" s="71" t="s">
        <v>38</v>
      </c>
      <c r="B4" s="71" t="s">
        <v>39</v>
      </c>
      <c r="C4" s="72">
        <v>10</v>
      </c>
      <c r="D4" s="73">
        <v>10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>
        <v>40</v>
      </c>
      <c r="W4" s="73">
        <v>16.7</v>
      </c>
    </row>
    <row r="5" spans="1:24" ht="17.25" thickBot="1" x14ac:dyDescent="0.35">
      <c r="A5" s="71" t="s">
        <v>34</v>
      </c>
      <c r="B5" s="71" t="s">
        <v>35</v>
      </c>
      <c r="C5" s="72"/>
      <c r="D5" s="73"/>
      <c r="E5" s="73"/>
      <c r="F5" s="73"/>
      <c r="G5" s="73">
        <v>14</v>
      </c>
      <c r="H5" s="73">
        <v>14</v>
      </c>
      <c r="I5" s="73">
        <v>14</v>
      </c>
      <c r="J5" s="73">
        <v>14</v>
      </c>
      <c r="K5" s="73"/>
      <c r="L5" s="73"/>
      <c r="M5" s="73"/>
      <c r="N5" s="73"/>
      <c r="O5" s="73"/>
      <c r="P5" s="73"/>
      <c r="Q5" s="73"/>
      <c r="R5" s="73"/>
      <c r="S5" s="73"/>
      <c r="T5" s="73">
        <v>15</v>
      </c>
      <c r="U5" s="73"/>
      <c r="V5" s="73"/>
      <c r="W5" s="73">
        <v>19.7</v>
      </c>
    </row>
    <row r="6" spans="1:24" ht="17.25" thickBot="1" x14ac:dyDescent="0.35">
      <c r="A6" s="71" t="s">
        <v>29</v>
      </c>
      <c r="B6" s="71" t="s">
        <v>30</v>
      </c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>
        <v>0</v>
      </c>
    </row>
    <row r="7" spans="1:24" ht="17.25" thickBot="1" x14ac:dyDescent="0.35">
      <c r="A7" s="71" t="s">
        <v>36</v>
      </c>
      <c r="B7" s="71" t="s">
        <v>37</v>
      </c>
      <c r="C7" s="72">
        <v>10</v>
      </c>
      <c r="D7" s="73">
        <v>10</v>
      </c>
      <c r="E7" s="73">
        <v>10</v>
      </c>
      <c r="F7" s="73">
        <v>10</v>
      </c>
      <c r="G7" s="73">
        <v>10</v>
      </c>
      <c r="H7" s="73"/>
      <c r="I7" s="73"/>
      <c r="J7" s="73"/>
      <c r="K7" s="73"/>
      <c r="L7" s="73"/>
      <c r="M7" s="73"/>
      <c r="N7" s="73">
        <v>20</v>
      </c>
      <c r="O7" s="73">
        <v>20</v>
      </c>
      <c r="P7" s="73">
        <v>20</v>
      </c>
      <c r="Q7" s="73">
        <v>20</v>
      </c>
      <c r="R7" s="73">
        <v>20</v>
      </c>
      <c r="S7" s="73">
        <v>20</v>
      </c>
      <c r="T7" s="73">
        <v>15</v>
      </c>
      <c r="U7" s="73">
        <v>15</v>
      </c>
      <c r="V7" s="73">
        <v>40</v>
      </c>
      <c r="W7" s="73">
        <v>91.7</v>
      </c>
    </row>
    <row r="8" spans="1:24" ht="17.25" thickBot="1" x14ac:dyDescent="0.35">
      <c r="A8" s="74" t="s">
        <v>43</v>
      </c>
      <c r="B8" s="74" t="s">
        <v>44</v>
      </c>
      <c r="C8" s="72">
        <v>20</v>
      </c>
      <c r="D8" s="73">
        <v>15</v>
      </c>
      <c r="E8" s="73">
        <v>8</v>
      </c>
      <c r="F8" s="73">
        <v>5</v>
      </c>
      <c r="G8" s="73">
        <v>8</v>
      </c>
      <c r="H8" s="73"/>
      <c r="I8" s="73"/>
      <c r="J8" s="73"/>
      <c r="K8" s="73"/>
      <c r="L8" s="73"/>
      <c r="M8" s="73"/>
      <c r="N8" s="73">
        <v>9</v>
      </c>
      <c r="O8" s="73">
        <v>10</v>
      </c>
      <c r="P8" s="73">
        <v>9</v>
      </c>
      <c r="Q8" s="73">
        <v>9</v>
      </c>
      <c r="R8" s="73">
        <v>15</v>
      </c>
      <c r="S8" s="73">
        <v>60</v>
      </c>
      <c r="T8" s="73">
        <v>15</v>
      </c>
      <c r="U8" s="73">
        <v>15</v>
      </c>
      <c r="V8" s="73"/>
      <c r="W8" s="73">
        <v>15</v>
      </c>
    </row>
    <row r="9" spans="1:24" ht="17.25" thickBot="1" x14ac:dyDescent="0.35">
      <c r="A9" s="74" t="s">
        <v>41</v>
      </c>
      <c r="B9" s="74" t="s">
        <v>42</v>
      </c>
      <c r="C9" s="72">
        <v>20</v>
      </c>
      <c r="D9" s="73">
        <v>15</v>
      </c>
      <c r="E9" s="73">
        <v>8</v>
      </c>
      <c r="F9" s="73">
        <v>7</v>
      </c>
      <c r="G9" s="73">
        <v>7</v>
      </c>
      <c r="H9" s="73"/>
      <c r="I9" s="73"/>
      <c r="J9" s="73"/>
      <c r="K9" s="73"/>
      <c r="L9" s="73"/>
      <c r="M9" s="73"/>
      <c r="N9" s="73">
        <v>10</v>
      </c>
      <c r="O9" s="73">
        <v>9</v>
      </c>
      <c r="P9" s="73">
        <v>9</v>
      </c>
      <c r="Q9" s="73">
        <v>5</v>
      </c>
      <c r="R9" s="73">
        <v>15</v>
      </c>
      <c r="S9" s="73">
        <v>55</v>
      </c>
      <c r="T9" s="73">
        <v>15</v>
      </c>
      <c r="U9" s="73">
        <v>15</v>
      </c>
      <c r="V9" s="73"/>
      <c r="W9" s="73">
        <v>20</v>
      </c>
    </row>
    <row r="10" spans="1:24" x14ac:dyDescent="0.25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</row>
  </sheetData>
  <mergeCells count="1">
    <mergeCell ref="A1:W1"/>
  </mergeCells>
  <pageMargins left="0.31" right="0.24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GridLines="0" showZeros="0" view="pageLayout" zoomScaleNormal="100" workbookViewId="0">
      <selection activeCell="C10" sqref="C10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41" t="s">
        <v>33</v>
      </c>
      <c r="B3" s="142"/>
      <c r="C3" s="142"/>
      <c r="D3" s="142"/>
      <c r="E3" s="142"/>
      <c r="F3" s="142"/>
      <c r="G3" s="75"/>
      <c r="H3" s="76">
        <f>SUMIF(Tableau1[SEXE],"m",Tableau1[%])</f>
        <v>0</v>
      </c>
      <c r="I3" s="76">
        <f>SUMIF(Tableau1[SEXE],"f",Tableau1[%])</f>
        <v>78.900000000000006</v>
      </c>
      <c r="J3" s="76"/>
      <c r="K3" s="77"/>
    </row>
    <row r="4" spans="1:11" x14ac:dyDescent="0.25">
      <c r="A4" s="12" t="s">
        <v>19</v>
      </c>
      <c r="B4" s="12" t="s">
        <v>15</v>
      </c>
      <c r="C4" s="12" t="s">
        <v>16</v>
      </c>
      <c r="D4" s="12" t="s">
        <v>17</v>
      </c>
      <c r="E4" s="41" t="s">
        <v>21</v>
      </c>
      <c r="F4" s="78" t="s">
        <v>20</v>
      </c>
      <c r="G4" s="79"/>
      <c r="H4" s="140" t="s">
        <v>121</v>
      </c>
      <c r="I4" s="140"/>
      <c r="J4" s="140"/>
      <c r="K4" s="78"/>
    </row>
    <row r="5" spans="1:11" ht="21" x14ac:dyDescent="0.35">
      <c r="A5" s="12"/>
      <c r="B5" s="12" t="s">
        <v>27</v>
      </c>
      <c r="C5" s="12" t="s">
        <v>28</v>
      </c>
      <c r="D5" s="12" t="s">
        <v>23</v>
      </c>
      <c r="E5" s="41">
        <v>78.900000000000006</v>
      </c>
      <c r="F5" s="80">
        <f>RANK(Tableau1[[#This Row],[%]],Tableau1[%],0)</f>
        <v>1</v>
      </c>
      <c r="G5" s="79"/>
      <c r="H5" s="75" t="s">
        <v>122</v>
      </c>
      <c r="I5" s="81">
        <f>COUNTIFS(Tableau1[SEXE],"M",Tableau1[%],"&gt;=50")</f>
        <v>0</v>
      </c>
      <c r="J5" s="77"/>
      <c r="K5" s="78"/>
    </row>
    <row r="6" spans="1:11" ht="15.75" customHeight="1" x14ac:dyDescent="0.35">
      <c r="A6" s="20"/>
      <c r="B6" s="20"/>
      <c r="C6" s="20"/>
      <c r="D6" s="20"/>
      <c r="E6" s="14"/>
      <c r="F6" s="20"/>
      <c r="G6" s="79"/>
      <c r="H6" s="82" t="s">
        <v>123</v>
      </c>
      <c r="I6" s="83">
        <f>COUNTIFS(Tableau1[SEXE],"F",Tableau1[%],"&gt;=50")</f>
        <v>1</v>
      </c>
      <c r="J6" s="84"/>
      <c r="K6" s="78"/>
    </row>
    <row r="7" spans="1:11" ht="17.25" customHeight="1" x14ac:dyDescent="0.25">
      <c r="A7" s="20"/>
      <c r="B7" s="20"/>
      <c r="C7" s="20"/>
      <c r="D7" s="20"/>
      <c r="E7" s="14"/>
      <c r="F7" s="20"/>
      <c r="G7" s="79"/>
      <c r="H7" s="85"/>
      <c r="I7" s="85"/>
      <c r="J7" s="85"/>
      <c r="K7" s="78"/>
    </row>
    <row r="8" spans="1:11" ht="16.5" customHeight="1" x14ac:dyDescent="0.25">
      <c r="A8" s="12"/>
      <c r="B8" s="12"/>
      <c r="C8" s="12"/>
      <c r="D8" s="12"/>
      <c r="E8" s="41"/>
      <c r="F8" s="12"/>
      <c r="G8" s="79"/>
      <c r="H8" s="140" t="s">
        <v>124</v>
      </c>
      <c r="I8" s="140"/>
      <c r="J8" s="140"/>
      <c r="K8" s="78"/>
    </row>
    <row r="9" spans="1:11" ht="16.5" customHeight="1" x14ac:dyDescent="0.35">
      <c r="A9" s="12"/>
      <c r="B9" s="12"/>
      <c r="D9" s="12"/>
      <c r="E9" s="41"/>
      <c r="F9" s="12"/>
      <c r="G9" s="79"/>
      <c r="H9" s="75" t="s">
        <v>122</v>
      </c>
      <c r="I9" s="81">
        <f>COUNTIFS(Tableau1[SEXE],"M",Tableau1[%],"&lt;=49,9")</f>
        <v>0</v>
      </c>
      <c r="J9" s="77"/>
      <c r="K9" s="78"/>
    </row>
    <row r="10" spans="1:11" ht="16.5" customHeight="1" x14ac:dyDescent="0.35">
      <c r="A10" s="12"/>
      <c r="B10" s="12"/>
      <c r="C10" s="12"/>
      <c r="D10" s="12"/>
      <c r="E10" s="41"/>
      <c r="F10" s="12"/>
      <c r="G10" s="79"/>
      <c r="H10" s="82" t="s">
        <v>123</v>
      </c>
      <c r="I10" s="83">
        <f>COUNTIFS(Tableau1[SEXE],"F",Tableau1[%],"&lt;=49,9")</f>
        <v>0</v>
      </c>
      <c r="J10" s="84"/>
      <c r="K10" s="78"/>
    </row>
    <row r="11" spans="1:11" ht="16.5" customHeight="1" x14ac:dyDescent="0.25">
      <c r="A11" s="12"/>
      <c r="B11" s="12"/>
      <c r="C11" s="12"/>
      <c r="D11" s="12"/>
      <c r="E11" s="41"/>
      <c r="F11" s="12"/>
      <c r="G11" s="79"/>
      <c r="H11" s="85"/>
      <c r="I11" s="85"/>
      <c r="J11" s="85"/>
      <c r="K11" s="78"/>
    </row>
    <row r="12" spans="1:11" ht="16.5" customHeight="1" x14ac:dyDescent="0.25">
      <c r="A12" s="12"/>
      <c r="B12" s="12"/>
      <c r="C12" s="12"/>
      <c r="D12" s="12"/>
      <c r="E12" s="41"/>
      <c r="F12" s="12"/>
      <c r="G12" s="79"/>
      <c r="H12" s="140" t="s">
        <v>125</v>
      </c>
      <c r="I12" s="140"/>
      <c r="J12" s="140"/>
      <c r="K12" s="78"/>
    </row>
    <row r="13" spans="1:11" ht="16.5" customHeight="1" x14ac:dyDescent="0.35">
      <c r="A13" s="12"/>
      <c r="B13" s="12"/>
      <c r="C13" s="12"/>
      <c r="D13" s="12"/>
      <c r="E13" s="41"/>
      <c r="F13" s="12"/>
      <c r="G13" s="79"/>
      <c r="H13" s="75" t="s">
        <v>122</v>
      </c>
      <c r="I13" s="86" t="e">
        <f>AVERAGE(H3/(I5+I9))</f>
        <v>#DIV/0!</v>
      </c>
      <c r="J13" s="77"/>
      <c r="K13" s="78"/>
    </row>
    <row r="14" spans="1:11" ht="15.75" customHeight="1" x14ac:dyDescent="0.35">
      <c r="A14" s="12"/>
      <c r="B14" s="12"/>
      <c r="C14" s="12"/>
      <c r="D14" s="12"/>
      <c r="E14" s="41"/>
      <c r="F14" s="12"/>
      <c r="G14" s="79"/>
      <c r="H14" s="82" t="s">
        <v>123</v>
      </c>
      <c r="I14" s="83">
        <f>AVERAGE(I3/(I6+I10))</f>
        <v>78.900000000000006</v>
      </c>
      <c r="J14" s="84"/>
      <c r="K14" s="78"/>
    </row>
    <row r="15" spans="1:11" ht="15.75" customHeight="1" x14ac:dyDescent="0.35">
      <c r="A15" s="12"/>
      <c r="B15" s="12"/>
      <c r="C15" s="12"/>
      <c r="D15" s="12"/>
      <c r="E15" s="41"/>
      <c r="F15" s="12"/>
      <c r="G15" s="79"/>
      <c r="H15" s="85"/>
      <c r="I15" s="87"/>
      <c r="J15" s="85"/>
      <c r="K15" s="78"/>
    </row>
    <row r="16" spans="1:11" ht="15.75" customHeight="1" x14ac:dyDescent="0.25">
      <c r="A16" s="12"/>
      <c r="B16" s="12"/>
      <c r="C16" s="12"/>
      <c r="D16" s="12"/>
      <c r="E16" s="41"/>
      <c r="F16" s="12"/>
      <c r="G16" s="79"/>
      <c r="H16" s="140" t="s">
        <v>126</v>
      </c>
      <c r="I16" s="140"/>
      <c r="J16" s="140"/>
      <c r="K16" s="78"/>
    </row>
    <row r="17" spans="1:11" ht="15.75" customHeight="1" x14ac:dyDescent="0.35">
      <c r="A17" s="12"/>
      <c r="B17" s="12"/>
      <c r="C17" s="12"/>
      <c r="D17" s="12"/>
      <c r="E17" s="41"/>
      <c r="F17" s="12"/>
      <c r="G17" s="79"/>
      <c r="H17" s="88" t="s">
        <v>127</v>
      </c>
      <c r="I17" s="89">
        <f>AVERAGE(Tableau1[%])</f>
        <v>78.900000000000006</v>
      </c>
      <c r="J17" s="90"/>
      <c r="K17" s="78"/>
    </row>
    <row r="18" spans="1:11" ht="16.5" customHeight="1" x14ac:dyDescent="0.25">
      <c r="A18" s="12"/>
      <c r="B18" s="12"/>
      <c r="C18" s="12"/>
      <c r="D18" s="12"/>
      <c r="E18" s="41"/>
      <c r="F18" s="12"/>
      <c r="G18" s="82"/>
      <c r="H18" s="91"/>
      <c r="I18" s="91"/>
      <c r="J18" s="91"/>
      <c r="K18" s="84"/>
    </row>
    <row r="19" spans="1:11" ht="16.5" customHeight="1" x14ac:dyDescent="0.25">
      <c r="A19" s="12"/>
      <c r="B19" s="12"/>
      <c r="C19" s="12"/>
      <c r="D19" s="12"/>
      <c r="E19" s="41"/>
      <c r="F19" s="12"/>
      <c r="G19" s="92"/>
    </row>
    <row r="20" spans="1:11" ht="16.5" customHeight="1" x14ac:dyDescent="0.25">
      <c r="A20" s="12"/>
      <c r="B20" s="12"/>
      <c r="C20" s="12"/>
      <c r="D20" s="12"/>
      <c r="E20" s="41"/>
      <c r="F20" s="12"/>
      <c r="G20" s="85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32"/>
      <c r="B541" s="32"/>
      <c r="C541" s="32"/>
      <c r="D541" s="32"/>
      <c r="E541" s="42"/>
      <c r="F541" s="3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8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GrEXM2S</vt:lpstr>
      <vt:lpstr>GrEXM1S</vt:lpstr>
      <vt:lpstr>Gr2P</vt:lpstr>
      <vt:lpstr>Gr4P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2021-03-13T15:50:38Z</cp:lastPrinted>
  <dcterms:created xsi:type="dcterms:W3CDTF">2019-12-12T07:48:50Z</dcterms:created>
  <dcterms:modified xsi:type="dcterms:W3CDTF">2021-03-20T06:45:29Z</dcterms:modified>
</cp:coreProperties>
</file>