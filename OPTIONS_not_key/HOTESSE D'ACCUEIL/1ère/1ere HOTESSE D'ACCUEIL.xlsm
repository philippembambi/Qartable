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HOTESSE D'ACCUEIL\1ère\"/>
    </mc:Choice>
  </mc:AlternateContent>
  <bookViews>
    <workbookView xWindow="-120" yWindow="-120" windowWidth="20730" windowHeight="11310" activeTab="6"/>
  </bookViews>
  <sheets>
    <sheet name="BLL" sheetId="2" r:id="rId1"/>
    <sheet name="BD" sheetId="3" r:id="rId2"/>
    <sheet name="CLS" sheetId="6" r:id="rId3"/>
    <sheet name="PLM" sheetId="5" r:id="rId4"/>
    <sheet name="GrEXM2S" sheetId="12" r:id="rId5"/>
    <sheet name="GrEXM1S" sheetId="9" r:id="rId6"/>
    <sheet name="Gr2P" sheetId="8" r:id="rId7"/>
    <sheet name="Gr4P" sheetId="11" r:id="rId8"/>
    <sheet name="Gr3P" sheetId="10" r:id="rId9"/>
    <sheet name="Gr1P" sheetId="7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7" i="5" l="1"/>
  <c r="I10" i="5"/>
  <c r="I9" i="5"/>
  <c r="I6" i="5"/>
  <c r="F5" i="5"/>
  <c r="I5" i="5"/>
  <c r="I3" i="5"/>
  <c r="I14" i="5" s="1"/>
  <c r="H3" i="5"/>
  <c r="I13" i="5" s="1"/>
  <c r="J44" i="2" l="1"/>
  <c r="F44" i="2"/>
  <c r="K44" i="2" s="1"/>
  <c r="J42" i="2" l="1"/>
  <c r="J41" i="2"/>
  <c r="F42" i="2"/>
  <c r="F41" i="2"/>
  <c r="J37" i="2"/>
  <c r="J38" i="2"/>
  <c r="J39" i="2"/>
  <c r="J36" i="2"/>
  <c r="F37" i="2"/>
  <c r="K37" i="2" s="1"/>
  <c r="F38" i="2"/>
  <c r="K38" i="2" s="1"/>
  <c r="F39" i="2"/>
  <c r="K39" i="2" s="1"/>
  <c r="F36" i="2"/>
  <c r="K36" i="2" s="1"/>
  <c r="J33" i="2"/>
  <c r="J34" i="2"/>
  <c r="J32" i="2"/>
  <c r="F33" i="2"/>
  <c r="K33" i="2" s="1"/>
  <c r="F34" i="2"/>
  <c r="K34" i="2" s="1"/>
  <c r="F32" i="2"/>
  <c r="J23" i="2"/>
  <c r="J24" i="2"/>
  <c r="J25" i="2"/>
  <c r="J26" i="2"/>
  <c r="J27" i="2"/>
  <c r="J28" i="2"/>
  <c r="J29" i="2"/>
  <c r="J30" i="2"/>
  <c r="J22" i="2"/>
  <c r="F19" i="2"/>
  <c r="F20" i="2"/>
  <c r="F18" i="2"/>
  <c r="F23" i="2"/>
  <c r="K23" i="2" s="1"/>
  <c r="F24" i="2"/>
  <c r="K24" i="2" s="1"/>
  <c r="F25" i="2"/>
  <c r="K25" i="2" s="1"/>
  <c r="F26" i="2"/>
  <c r="K26" i="2" s="1"/>
  <c r="F27" i="2"/>
  <c r="F28" i="2"/>
  <c r="K28" i="2" s="1"/>
  <c r="F29" i="2"/>
  <c r="K29" i="2" s="1"/>
  <c r="F30" i="2"/>
  <c r="K30" i="2" s="1"/>
  <c r="F22" i="2"/>
  <c r="K22" i="2" s="1"/>
  <c r="K19" i="2"/>
  <c r="J19" i="2"/>
  <c r="J20" i="2"/>
  <c r="K20" i="2" s="1"/>
  <c r="J18" i="2"/>
  <c r="K18" i="2" s="1"/>
  <c r="I46" i="2"/>
  <c r="H46" i="2"/>
  <c r="G46" i="2"/>
  <c r="E46" i="2"/>
  <c r="D46" i="2"/>
  <c r="C46" i="2"/>
  <c r="K41" i="2" l="1"/>
  <c r="K27" i="2"/>
  <c r="K42" i="2"/>
  <c r="K32" i="2"/>
  <c r="J46" i="2"/>
  <c r="F46" i="2"/>
  <c r="B10" i="6"/>
  <c r="K46" i="2" l="1"/>
  <c r="B8" i="6"/>
  <c r="B12" i="6" l="1"/>
  <c r="I47" i="2" l="1"/>
  <c r="H47" i="2"/>
  <c r="G47" i="2"/>
  <c r="E47" i="2"/>
  <c r="D47" i="2"/>
  <c r="C47" i="2"/>
  <c r="K43" i="2" l="1"/>
  <c r="F47" i="2" l="1"/>
  <c r="J47" i="2" l="1"/>
  <c r="K47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<sst xmlns="http://schemas.openxmlformats.org/spreadsheetml/2006/main" count="554" uniqueCount="222">
  <si>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</si>
  <si>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</si>
  <si>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</si>
  <si>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</si>
  <si>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</si>
  <si>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</si>
  <si>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</si>
  <si>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</si>
  <si>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</si>
  <si>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</si>
  <si>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</si>
  <si>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</si>
  <si>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</si>
  <si>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</si>
  <si>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</si>
  <si>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</si>
  <si>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</si>
  <si>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</si>
  <si>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</si>
  <si>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</si>
  <si>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</si>
  <si>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</si>
  <si>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</si>
  <si>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t>BANGA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</si>
  <si>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</si>
  <si>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</si>
  <si>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</si>
  <si>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</si>
  <si>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</si>
  <si>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KASONGO</t>
  </si>
  <si>
    <t>BATUYEKULA</t>
  </si>
  <si>
    <t>KALAKI</t>
  </si>
  <si>
    <t>BISALU</t>
  </si>
  <si>
    <t>ZOLA</t>
  </si>
  <si>
    <t>BITOTA</t>
  </si>
  <si>
    <t>LUKUSA</t>
  </si>
  <si>
    <t>BOKANDJA</t>
  </si>
  <si>
    <t>YEMONA</t>
  </si>
  <si>
    <t>JONATHA</t>
  </si>
  <si>
    <t>KABEYA</t>
  </si>
  <si>
    <t>MPOYI</t>
  </si>
  <si>
    <t>KAZADI</t>
  </si>
  <si>
    <t>MAMBU</t>
  </si>
  <si>
    <t>KITAMBALA</t>
  </si>
  <si>
    <t>MBUYI</t>
  </si>
  <si>
    <t>MPUTU</t>
  </si>
  <si>
    <t>NTUMBA</t>
  </si>
  <si>
    <t>MOBA</t>
  </si>
  <si>
    <t>NGALULA</t>
  </si>
  <si>
    <t>NGOYA</t>
  </si>
  <si>
    <t>SOKI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</si>
  <si>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</si>
  <si>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</si>
  <si>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</si>
  <si>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</si>
  <si>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</si>
  <si>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</si>
  <si>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</si>
  <si>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</si>
  <si>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</si>
  <si>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</si>
  <si>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</si>
  <si>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Informatique</t>
  </si>
  <si>
    <t>Anglais</t>
  </si>
  <si>
    <t xml:space="preserve">Pratique professionnelle </t>
  </si>
  <si>
    <t>Droit</t>
  </si>
  <si>
    <t>Ed. Civ. &amp; Morale</t>
  </si>
  <si>
    <t>Mathématiques financières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</si>
  <si>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</si>
  <si>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>Français</t>
  </si>
  <si>
    <t xml:space="preserve">TOT.
</t>
  </si>
  <si>
    <t>Géographie</t>
  </si>
  <si>
    <t>Histoire</t>
  </si>
  <si>
    <t>Chimie</t>
  </si>
  <si>
    <t>Physique</t>
  </si>
  <si>
    <t>Sociologie Africaine</t>
  </si>
  <si>
    <t>Art Culinaire</t>
  </si>
  <si>
    <t>Relations publiques</t>
  </si>
  <si>
    <t>Technique d'Accueil</t>
  </si>
  <si>
    <t>Protocole</t>
  </si>
  <si>
    <t>Langues nationales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</si>
  <si>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</si>
  <si>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</si>
  <si>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</si>
  <si>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</si>
  <si>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</si>
  <si>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</si>
  <si>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</si>
  <si>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</si>
  <si>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</si>
  <si>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</si>
  <si>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Ed. civ. &amp; morale</t>
  </si>
  <si>
    <t>Mathématiques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</si>
  <si>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</si>
  <si>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</si>
  <si>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</si>
  <si>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</si>
  <si>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</si>
  <si>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</si>
  <si>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</si>
  <si>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</si>
  <si>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</si>
  <si>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</si>
  <si>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</si>
  <si>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</si>
  <si>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</si>
  <si>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</si>
  <si>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</si>
  <si>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</si>
  <si>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</si>
  <si>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</si>
  <si>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</si>
  <si>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</si>
  <si>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;22</t>
  </si>
  <si>
    <t>Comptabilité</t>
  </si>
  <si>
    <t xml:space="preserve">Mathématiques </t>
  </si>
  <si>
    <t>;102</t>
  </si>
  <si>
    <t>;103</t>
  </si>
  <si>
    <t>Math. Financière</t>
  </si>
  <si>
    <t>Socio. Africaine</t>
  </si>
  <si>
    <t>Art culinaire</t>
  </si>
  <si>
    <t>Relations publ.</t>
  </si>
  <si>
    <t>Technique d'accueil</t>
  </si>
  <si>
    <t>Pratique professionnelle</t>
  </si>
  <si>
    <t>GRILLE DES COTES EXAMEN DEUXIEME SEMESTRE</t>
  </si>
  <si>
    <t>GRILLE DES COTES EXAMEN PREMIER SEMESTRE</t>
  </si>
  <si>
    <t>GRILLE DES COTES DEUXIEME PERIODE</t>
  </si>
  <si>
    <t>GRILLE DES COTES QUATRIEME PERIODE</t>
  </si>
  <si>
    <t>GRILLE DES COTES TROISIEME PERIODE</t>
  </si>
  <si>
    <t>ABUZA</t>
  </si>
  <si>
    <t>LIMBASA</t>
  </si>
  <si>
    <t>AKEYE</t>
  </si>
  <si>
    <t>AKAMA</t>
  </si>
  <si>
    <t>BOLOKOKO</t>
  </si>
  <si>
    <t>BOBOY</t>
  </si>
  <si>
    <t>BOSUKA</t>
  </si>
  <si>
    <t>MUTALA</t>
  </si>
  <si>
    <t>EALE</t>
  </si>
  <si>
    <t>DWEH</t>
  </si>
  <si>
    <t>ENKELE</t>
  </si>
  <si>
    <t>BENGOLE</t>
  </si>
  <si>
    <t>GALA</t>
  </si>
  <si>
    <t>NGALIFURU</t>
  </si>
  <si>
    <t>IKEMO</t>
  </si>
  <si>
    <t>TSHIBAMBA</t>
  </si>
  <si>
    <t>ILONGO</t>
  </si>
  <si>
    <t>MAKANA</t>
  </si>
  <si>
    <t>ITSHINDO</t>
  </si>
  <si>
    <t>NZIAMU</t>
  </si>
  <si>
    <t>KAPANGALA</t>
  </si>
  <si>
    <t>MULEMA</t>
  </si>
  <si>
    <t>KAPUMBA</t>
  </si>
  <si>
    <t>MALENDE</t>
  </si>
  <si>
    <t>KASESE</t>
  </si>
  <si>
    <t>NZABI</t>
  </si>
  <si>
    <t>LUFULU</t>
  </si>
  <si>
    <t>KIBAYAKWABO</t>
  </si>
  <si>
    <t>SELEMANI</t>
  </si>
  <si>
    <t>KIESE</t>
  </si>
  <si>
    <t>LEMBA</t>
  </si>
  <si>
    <t>KINDA</t>
  </si>
  <si>
    <t>MALONGA</t>
  </si>
  <si>
    <t>KUNGUDI</t>
  </si>
  <si>
    <t>KOLE</t>
  </si>
  <si>
    <t>EMEYE(D)</t>
  </si>
  <si>
    <t>LESI</t>
  </si>
  <si>
    <t>MAWUWA</t>
  </si>
  <si>
    <t>LONGONDA</t>
  </si>
  <si>
    <t>BOYIKA</t>
  </si>
  <si>
    <t>LUKADI    (D)</t>
  </si>
  <si>
    <t>MUKUNDAYI</t>
  </si>
  <si>
    <t>LUMONO</t>
  </si>
  <si>
    <t>NDEBILA</t>
  </si>
  <si>
    <t>LUSAMBA</t>
  </si>
  <si>
    <t>LUSUKE</t>
  </si>
  <si>
    <t>BOKAMBA</t>
  </si>
  <si>
    <t>MAKILA</t>
  </si>
  <si>
    <t>MOLE</t>
  </si>
  <si>
    <t>BWANGA</t>
  </si>
  <si>
    <t>MANGUFU</t>
  </si>
  <si>
    <t>N’SHOLE</t>
  </si>
  <si>
    <t>MAYOKIDI</t>
  </si>
  <si>
    <t>MBUKA</t>
  </si>
  <si>
    <t>ZOE</t>
  </si>
  <si>
    <t>NSUNGU(D)</t>
  </si>
  <si>
    <t>MBWAYA</t>
  </si>
  <si>
    <t>BOPE</t>
  </si>
  <si>
    <t>MIKA</t>
  </si>
  <si>
    <t>MBELE</t>
  </si>
  <si>
    <t>MUSASA</t>
  </si>
  <si>
    <t>MOSOPAKA</t>
  </si>
  <si>
    <t>MATHY</t>
  </si>
  <si>
    <t>KIWA</t>
  </si>
  <si>
    <t>MUNDELE</t>
  </si>
  <si>
    <t>IBRILING</t>
  </si>
  <si>
    <t>MUTEBA</t>
  </si>
  <si>
    <t>MUSHIYA</t>
  </si>
  <si>
    <t>MUTOBA</t>
  </si>
  <si>
    <t>TSHITENGE</t>
  </si>
  <si>
    <t>MWAMUINI</t>
  </si>
  <si>
    <t>NANGA</t>
  </si>
  <si>
    <t>BIAYI</t>
  </si>
  <si>
    <t>NGAKIALA</t>
  </si>
  <si>
    <t>KEVINE</t>
  </si>
  <si>
    <t>NKUMASE</t>
  </si>
  <si>
    <t>IYOKO</t>
  </si>
  <si>
    <t>NSANGU</t>
  </si>
  <si>
    <t>KUFIA</t>
  </si>
  <si>
    <t>NTANGA</t>
  </si>
  <si>
    <t>KASONGA</t>
  </si>
  <si>
    <t>OTSHUMBA</t>
  </si>
  <si>
    <t>NTAMBWE</t>
  </si>
  <si>
    <t>SABINA</t>
  </si>
  <si>
    <t>VUNGUSAKO</t>
  </si>
  <si>
    <t>TSHOMBO</t>
  </si>
  <si>
    <t>BOKENGELE</t>
  </si>
  <si>
    <t>TUSANKA</t>
  </si>
  <si>
    <t>UMBA</t>
  </si>
  <si>
    <t>BAKWA</t>
  </si>
  <si>
    <t>VAVAY</t>
  </si>
  <si>
    <t>MPIA</t>
  </si>
  <si>
    <t>YALAMUKI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</si>
</sst>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0000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2"/>
      <color theme="1"/>
      <name val="Bell M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2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35" fillId="9" borderId="0" applyNumberFormat="0" applyBorder="0" applyAlignment="0" applyProtection="0"/>
  </cellStyleXfs>
  <cellXfs count="146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4" fillId="4" borderId="19" xfId="0" applyFont="1" applyFill="1" applyBorder="1"/>
    <xf numFmtId="0" fontId="14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2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5" borderId="0" xfId="0" applyFont="1" applyFill="1"/>
    <xf numFmtId="164" fontId="22" fillId="5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8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0" fillId="8" borderId="24" xfId="0" applyFill="1" applyBorder="1"/>
    <xf numFmtId="0" fontId="0" fillId="8" borderId="14" xfId="0" applyFill="1" applyBorder="1"/>
    <xf numFmtId="0" fontId="0" fillId="0" borderId="25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30" fillId="0" borderId="5" xfId="0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3" fillId="0" borderId="5" xfId="0" applyFont="1" applyFill="1" applyBorder="1"/>
    <xf numFmtId="0" fontId="0" fillId="8" borderId="5" xfId="0" applyFill="1" applyBorder="1"/>
    <xf numFmtId="0" fontId="0" fillId="0" borderId="5" xfId="0" applyFont="1" applyBorder="1" applyAlignment="1" applyProtection="1">
      <alignment horizontal="center"/>
    </xf>
    <xf numFmtId="0" fontId="34" fillId="0" borderId="5" xfId="0" applyFont="1" applyBorder="1"/>
    <xf numFmtId="0" fontId="12" fillId="0" borderId="26" xfId="0" applyFont="1" applyBorder="1"/>
    <xf numFmtId="0" fontId="36" fillId="0" borderId="0" xfId="0" applyFont="1"/>
    <xf numFmtId="0" fontId="12" fillId="0" borderId="27" xfId="0" applyFont="1" applyBorder="1"/>
    <xf numFmtId="0" fontId="12" fillId="0" borderId="28" xfId="0" applyFont="1" applyBorder="1"/>
    <xf numFmtId="0" fontId="12" fillId="0" borderId="29" xfId="0" applyFont="1" applyBorder="1"/>
    <xf numFmtId="0" fontId="12" fillId="0" borderId="28" xfId="0" applyNumberFormat="1" applyFont="1" applyBorder="1"/>
    <xf numFmtId="0" fontId="38" fillId="0" borderId="30" xfId="0" applyFont="1" applyBorder="1"/>
    <xf numFmtId="0" fontId="12" fillId="0" borderId="31" xfId="0" applyFont="1" applyBorder="1"/>
    <xf numFmtId="0" fontId="38" fillId="0" borderId="32" xfId="0" applyFont="1" applyBorder="1"/>
    <xf numFmtId="0" fontId="12" fillId="0" borderId="33" xfId="0" applyFont="1" applyBorder="1"/>
    <xf numFmtId="0" fontId="12" fillId="0" borderId="0" xfId="0" applyFont="1" applyBorder="1"/>
    <xf numFmtId="0" fontId="36" fillId="0" borderId="30" xfId="0" applyFont="1" applyBorder="1" applyProtection="1"/>
    <xf numFmtId="0" fontId="38" fillId="0" borderId="0" xfId="0" applyFont="1" applyBorder="1"/>
    <xf numFmtId="0" fontId="12" fillId="0" borderId="34" xfId="0" applyFont="1" applyBorder="1"/>
    <xf numFmtId="0" fontId="38" fillId="0" borderId="35" xfId="0" applyFont="1" applyBorder="1"/>
    <xf numFmtId="0" fontId="12" fillId="0" borderId="36" xfId="0" applyFont="1" applyBorder="1"/>
    <xf numFmtId="0" fontId="12" fillId="0" borderId="32" xfId="0" applyFont="1" applyBorder="1"/>
    <xf numFmtId="0" fontId="12" fillId="0" borderId="30" xfId="0" applyFont="1" applyBorder="1"/>
    <xf numFmtId="0" fontId="12" fillId="0" borderId="0" xfId="0" applyFont="1" applyAlignment="1">
      <alignment horizontal="center"/>
    </xf>
    <xf numFmtId="0" fontId="40" fillId="0" borderId="37" xfId="0" applyFont="1" applyBorder="1" applyAlignment="1">
      <alignment horizontal="center" textRotation="90"/>
    </xf>
    <xf numFmtId="0" fontId="40" fillId="0" borderId="37" xfId="0" applyFont="1" applyBorder="1" applyAlignment="1">
      <alignment textRotation="90"/>
    </xf>
    <xf numFmtId="0" fontId="38" fillId="0" borderId="37" xfId="0" applyFont="1" applyBorder="1"/>
    <xf numFmtId="11" fontId="12" fillId="0" borderId="0" xfId="0" applyNumberFormat="1" applyFont="1"/>
    <xf numFmtId="0" fontId="40" fillId="0" borderId="38" xfId="0" applyFont="1" applyBorder="1" applyAlignment="1">
      <alignment horizontal="center"/>
    </xf>
    <xf numFmtId="0" fontId="40" fillId="0" borderId="39" xfId="0" applyFont="1" applyBorder="1" applyAlignment="1">
      <alignment horizontal="center"/>
    </xf>
    <xf numFmtId="0" fontId="42" fillId="0" borderId="40" xfId="0" applyFont="1" applyBorder="1" applyAlignment="1">
      <alignment horizontal="center"/>
    </xf>
    <xf numFmtId="0" fontId="42" fillId="0" borderId="41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40" xfId="0" applyFont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38" fillId="0" borderId="41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3" fillId="0" borderId="41" xfId="0" applyFont="1" applyBorder="1" applyAlignment="1">
      <alignment horizontal="center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3" fillId="0" borderId="12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32" fillId="0" borderId="12" xfId="0" applyFont="1" applyBorder="1" applyAlignment="1">
      <alignment horizontal="left"/>
    </xf>
    <xf numFmtId="0" fontId="32" fillId="0" borderId="14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2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26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27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1" fillId="0" borderId="6" xfId="0" applyFont="1" applyBorder="1" applyAlignment="1">
      <alignment horizontal="center" wrapText="1"/>
    </xf>
    <xf numFmtId="0" fontId="31" fillId="0" borderId="7" xfId="0" applyFont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37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41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97-4D13-8F24-5C97E9D320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97-4D13-8F24-5C97E9D320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[1]PLM!$I$13:$I$14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7-4D13-8F24-5C97E9D32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57151</xdr:colOff>
      <xdr:row>13</xdr:row>
      <xdr:rowOff>38100</xdr:rowOff>
    </xdr:from>
    <xdr:to>
      <xdr:col>13</xdr:col>
      <xdr:colOff>733425</xdr:colOff>
      <xdr:row>14</xdr:row>
      <xdr:rowOff>123825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29276" y="2705100"/>
          <a:ext cx="108584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14</xdr:row>
      <xdr:rowOff>66676</xdr:rowOff>
    </xdr:from>
    <xdr:to>
      <xdr:col>13</xdr:col>
      <xdr:colOff>704851</xdr:colOff>
      <xdr:row>14</xdr:row>
      <xdr:rowOff>228600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38802" y="2895601"/>
          <a:ext cx="1047749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13</xdr:row>
      <xdr:rowOff>152401</xdr:rowOff>
    </xdr:from>
    <xdr:to>
      <xdr:col>1</xdr:col>
      <xdr:colOff>714375</xdr:colOff>
      <xdr:row>15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45</xdr:row>
      <xdr:rowOff>1</xdr:rowOff>
    </xdr:from>
    <xdr:to>
      <xdr:col>14</xdr:col>
      <xdr:colOff>0</xdr:colOff>
      <xdr:row>51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11</xdr:row>
      <xdr:rowOff>180975</xdr:rowOff>
    </xdr:from>
    <xdr:to>
      <xdr:col>14</xdr:col>
      <xdr:colOff>0</xdr:colOff>
      <xdr:row>13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276475"/>
          <a:ext cx="727623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1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ère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HUMANITAIRE HOTESSE D'ACCUEIL   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267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581891</xdr:colOff>
      <xdr:row>10</xdr:row>
      <xdr:rowOff>173183</xdr:rowOff>
    </xdr:from>
    <xdr:to>
      <xdr:col>4</xdr:col>
      <xdr:colOff>388793</xdr:colOff>
      <xdr:row>11</xdr:row>
      <xdr:rowOff>152401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1891" y="2078183"/>
          <a:ext cx="2397702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167988</xdr:colOff>
      <xdr:row>10</xdr:row>
      <xdr:rowOff>175781</xdr:rowOff>
    </xdr:from>
    <xdr:to>
      <xdr:col>13</xdr:col>
      <xdr:colOff>463263</xdr:colOff>
      <xdr:row>11</xdr:row>
      <xdr:rowOff>161925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977988" y="2080781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51</xdr:row>
      <xdr:rowOff>9525</xdr:rowOff>
    </xdr:from>
    <xdr:to>
      <xdr:col>14</xdr:col>
      <xdr:colOff>0</xdr:colOff>
      <xdr:row>59</xdr:row>
      <xdr:rowOff>104775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067800"/>
          <a:ext cx="7267574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47</xdr:row>
      <xdr:rowOff>19050</xdr:rowOff>
    </xdr:from>
    <xdr:to>
      <xdr:col>3</xdr:col>
      <xdr:colOff>238125</xdr:colOff>
      <xdr:row>47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47</xdr:row>
      <xdr:rowOff>9525</xdr:rowOff>
    </xdr:from>
    <xdr:to>
      <xdr:col>2</xdr:col>
      <xdr:colOff>219075</xdr:colOff>
      <xdr:row>47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47</xdr:row>
      <xdr:rowOff>19050</xdr:rowOff>
    </xdr:from>
    <xdr:to>
      <xdr:col>6</xdr:col>
      <xdr:colOff>228600</xdr:colOff>
      <xdr:row>47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47</xdr:row>
      <xdr:rowOff>19050</xdr:rowOff>
    </xdr:from>
    <xdr:to>
      <xdr:col>7</xdr:col>
      <xdr:colOff>219075</xdr:colOff>
      <xdr:row>47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47</xdr:row>
      <xdr:rowOff>19050</xdr:rowOff>
    </xdr:from>
    <xdr:to>
      <xdr:col>8</xdr:col>
      <xdr:colOff>257175</xdr:colOff>
      <xdr:row>47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47</xdr:row>
      <xdr:rowOff>19050</xdr:rowOff>
    </xdr:from>
    <xdr:to>
      <xdr:col>9</xdr:col>
      <xdr:colOff>228600</xdr:colOff>
      <xdr:row>47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47</xdr:row>
      <xdr:rowOff>19050</xdr:rowOff>
    </xdr:from>
    <xdr:to>
      <xdr:col>10</xdr:col>
      <xdr:colOff>200025</xdr:colOff>
      <xdr:row>47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47</xdr:row>
      <xdr:rowOff>19050</xdr:rowOff>
    </xdr:from>
    <xdr:to>
      <xdr:col>5</xdr:col>
      <xdr:colOff>295275</xdr:colOff>
      <xdr:row>47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47</xdr:row>
      <xdr:rowOff>19050</xdr:rowOff>
    </xdr:from>
    <xdr:to>
      <xdr:col>4</xdr:col>
      <xdr:colOff>247650</xdr:colOff>
      <xdr:row>47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50</xdr:row>
      <xdr:rowOff>28575</xdr:rowOff>
    </xdr:from>
    <xdr:to>
      <xdr:col>2</xdr:col>
      <xdr:colOff>333375</xdr:colOff>
      <xdr:row>50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50</xdr:row>
      <xdr:rowOff>28575</xdr:rowOff>
    </xdr:from>
    <xdr:to>
      <xdr:col>3</xdr:col>
      <xdr:colOff>371475</xdr:colOff>
      <xdr:row>50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50</xdr:row>
      <xdr:rowOff>38100</xdr:rowOff>
    </xdr:from>
    <xdr:to>
      <xdr:col>4</xdr:col>
      <xdr:colOff>400048</xdr:colOff>
      <xdr:row>50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50</xdr:row>
      <xdr:rowOff>38100</xdr:rowOff>
    </xdr:from>
    <xdr:to>
      <xdr:col>6</xdr:col>
      <xdr:colOff>380998</xdr:colOff>
      <xdr:row>50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50</xdr:row>
      <xdr:rowOff>38100</xdr:rowOff>
    </xdr:from>
    <xdr:to>
      <xdr:col>7</xdr:col>
      <xdr:colOff>400048</xdr:colOff>
      <xdr:row>50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50</xdr:row>
      <xdr:rowOff>38100</xdr:rowOff>
    </xdr:from>
    <xdr:to>
      <xdr:col>8</xdr:col>
      <xdr:colOff>419098</xdr:colOff>
      <xdr:row>50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30</xdr:row>
      <xdr:rowOff>176645</xdr:rowOff>
    </xdr:from>
    <xdr:to>
      <xdr:col>18</xdr:col>
      <xdr:colOff>450273</xdr:colOff>
      <xdr:row>42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42</xdr:row>
      <xdr:rowOff>57150</xdr:rowOff>
    </xdr:from>
    <xdr:to>
      <xdr:col>15</xdr:col>
      <xdr:colOff>768639</xdr:colOff>
      <xdr:row>45</xdr:row>
      <xdr:rowOff>6928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22</xdr:row>
      <xdr:rowOff>131618</xdr:rowOff>
    </xdr:from>
    <xdr:to>
      <xdr:col>17</xdr:col>
      <xdr:colOff>462396</xdr:colOff>
      <xdr:row>25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48</xdr:row>
      <xdr:rowOff>28575</xdr:rowOff>
    </xdr:from>
    <xdr:to>
      <xdr:col>2</xdr:col>
      <xdr:colOff>361950</xdr:colOff>
      <xdr:row>48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48</xdr:row>
      <xdr:rowOff>28575</xdr:rowOff>
    </xdr:from>
    <xdr:to>
      <xdr:col>3</xdr:col>
      <xdr:colOff>381000</xdr:colOff>
      <xdr:row>48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48</xdr:row>
      <xdr:rowOff>28575</xdr:rowOff>
    </xdr:from>
    <xdr:to>
      <xdr:col>4</xdr:col>
      <xdr:colOff>400050</xdr:colOff>
      <xdr:row>48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48</xdr:row>
      <xdr:rowOff>28575</xdr:rowOff>
    </xdr:from>
    <xdr:to>
      <xdr:col>6</xdr:col>
      <xdr:colOff>390525</xdr:colOff>
      <xdr:row>48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48</xdr:row>
      <xdr:rowOff>28575</xdr:rowOff>
    </xdr:from>
    <xdr:to>
      <xdr:col>7</xdr:col>
      <xdr:colOff>342900</xdr:colOff>
      <xdr:row>48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48</xdr:row>
      <xdr:rowOff>28575</xdr:rowOff>
    </xdr:from>
    <xdr:to>
      <xdr:col>8</xdr:col>
      <xdr:colOff>371475</xdr:colOff>
      <xdr:row>48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39</xdr:row>
      <xdr:rowOff>0</xdr:rowOff>
    </xdr:from>
    <xdr:to>
      <xdr:col>16</xdr:col>
      <xdr:colOff>290945</xdr:colOff>
      <xdr:row>41</xdr:row>
      <xdr:rowOff>110837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85727</xdr:colOff>
      <xdr:row>48</xdr:row>
      <xdr:rowOff>28575</xdr:rowOff>
    </xdr:from>
    <xdr:to>
      <xdr:col>5</xdr:col>
      <xdr:colOff>381000</xdr:colOff>
      <xdr:row>48</xdr:row>
      <xdr:rowOff>171450</xdr:rowOff>
    </xdr:to>
    <xdr:sp macro="[0]!AFRTOT1S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086102" y="84582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38102</xdr:colOff>
      <xdr:row>48</xdr:row>
      <xdr:rowOff>28575</xdr:rowOff>
    </xdr:from>
    <xdr:to>
      <xdr:col>9</xdr:col>
      <xdr:colOff>333375</xdr:colOff>
      <xdr:row>48</xdr:row>
      <xdr:rowOff>171450</xdr:rowOff>
    </xdr:to>
    <xdr:sp macro="[0]!AFRTOTO2S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4686302" y="84582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38102</xdr:colOff>
      <xdr:row>48</xdr:row>
      <xdr:rowOff>38100</xdr:rowOff>
    </xdr:from>
    <xdr:to>
      <xdr:col>10</xdr:col>
      <xdr:colOff>333375</xdr:colOff>
      <xdr:row>48</xdr:row>
      <xdr:rowOff>180975</xdr:rowOff>
    </xdr:to>
    <xdr:sp macro="[0]!AFRTG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5114927" y="846772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152400</xdr:rowOff>
    </xdr:from>
    <xdr:ext cx="10401300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152400"/>
          <a:ext cx="1040130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PREMIERE HOTESSE D'ACCUEIL</a:t>
          </a:r>
          <a:endParaRPr lang="fr-FR" sz="32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38" name="Flèche droite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2]!printpalma">
      <xdr:nvPicPr>
        <xdr:cNvPr id="39" name="Image 3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2]!ecrasepalma">
      <xdr:nvPicPr>
        <xdr:cNvPr id="40" name="Image 39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2]!printpalma">
      <xdr:nvPicPr>
        <xdr:cNvPr id="41" name="Image 40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352425</xdr:colOff>
      <xdr:row>1</xdr:row>
      <xdr:rowOff>1428750</xdr:rowOff>
    </xdr:from>
    <xdr:to>
      <xdr:col>26</xdr:col>
      <xdr:colOff>123825</xdr:colOff>
      <xdr:row>4</xdr:row>
      <xdr:rowOff>85725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93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304800</xdr:colOff>
      <xdr:row>1</xdr:row>
      <xdr:rowOff>723900</xdr:rowOff>
    </xdr:from>
    <xdr:to>
      <xdr:col>27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352425</xdr:colOff>
      <xdr:row>1</xdr:row>
      <xdr:rowOff>1428750</xdr:rowOff>
    </xdr:from>
    <xdr:to>
      <xdr:col>26</xdr:col>
      <xdr:colOff>123825</xdr:colOff>
      <xdr:row>4</xdr:row>
      <xdr:rowOff>85725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320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304800</xdr:colOff>
      <xdr:row>1</xdr:row>
      <xdr:rowOff>723900</xdr:rowOff>
    </xdr:from>
    <xdr:to>
      <xdr:col>27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610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3</xdr:row>
      <xdr:rowOff>28575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320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610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3</xdr:row>
      <xdr:rowOff>28575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320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610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3</xdr:row>
      <xdr:rowOff>28575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320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610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352425</xdr:colOff>
      <xdr:row>1</xdr:row>
      <xdr:rowOff>1428750</xdr:rowOff>
    </xdr:from>
    <xdr:to>
      <xdr:col>27</xdr:col>
      <xdr:colOff>123825</xdr:colOff>
      <xdr:row>3</xdr:row>
      <xdr:rowOff>28575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304800</xdr:colOff>
      <xdr:row>1</xdr:row>
      <xdr:rowOff>723900</xdr:rowOff>
    </xdr:from>
    <xdr:to>
      <xdr:col>28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59" totalsRowShown="0" headerRowDxfId="42" dataDxfId="41">
  <autoFilter ref="A4:F59"/>
  <sortState ref="A5:P1048567">
    <sortCondition ref="B4:B1048567"/>
  </sortState>
  <tableColumns count="6">
    <tableColumn id="13" name="N°" dataDxfId="40"/>
    <tableColumn id="1" name="NOM " dataDxfId="39"/>
    <tableColumn id="2" name="POST-NOM" dataDxfId="38"/>
    <tableColumn id="3" name="PRENOM" dataDxfId="37"/>
    <tableColumn id="4" name="SEXE" dataDxfId="36"/>
    <tableColumn id="17" name="CONDUITE" dataDxfId="35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5" totalsRowShown="0" headerRowDxfId="31" dataDxfId="30">
  <autoFilter ref="A4:F5"/>
  <sortState ref="A5:F29">
    <sortCondition ref="F4:F29"/>
  </sortState>
  <tableColumns count="6">
    <tableColumn id="1" name="NOM" dataDxfId="29"/>
    <tableColumn id="2" name="POST-NOM" dataDxfId="28"/>
    <tableColumn id="3" name="PRENOM" dataDxfId="27"/>
    <tableColumn id="4" name="SEXE" dataDxfId="26"/>
    <tableColumn id="5" name="%" dataDxfId="25"/>
    <tableColumn id="6" name="PLACE" dataDxfId="24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8" name="Tableau4459" displayName="Tableau4459" ref="A3:X11" totalsRowShown="0" headerRowDxfId="23" tableBorderDxfId="22">
  <autoFilter ref="A3:X11"/>
  <tableColumns count="24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25" name=";103" dataDxfId="21"/>
    <tableColumn id="24" name=";102" dataDxfId="2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4" name="Tableau445" displayName="Tableau445" ref="A3:X8" totalsRowShown="0" headerRowDxfId="19" tableBorderDxfId="18">
  <autoFilter ref="A3:X8"/>
  <tableColumns count="24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25" name=";103" dataDxfId="17"/>
    <tableColumn id="24" name=";102" dataDxfId="16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3" name="Tableau44" displayName="Tableau44" ref="A3:Y9" totalsRowShown="0" headerRowDxfId="15" tableBorderDxfId="14">
  <autoFilter ref="A3:Y9"/>
  <tableColumns count="25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25" name=";103" dataDxfId="13"/>
    <tableColumn id="24" name=";102" dataDxfId="12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7" name="Tableau478" displayName="Tableau478" ref="A3:Y7" totalsRowShown="0" headerRowDxfId="11" tableBorderDxfId="10">
  <autoFilter ref="A3:Y7"/>
  <tableColumns count="25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25" name=";103" dataDxfId="9"/>
    <tableColumn id="24" name=";102" dataDxfId="8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6" name="Tableau47" displayName="Tableau47" ref="A3:Y7" totalsRowShown="0" headerRowDxfId="7" tableBorderDxfId="6">
  <autoFilter ref="A3:Y7"/>
  <tableColumns count="25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25" name=";103" dataDxfId="5"/>
    <tableColumn id="24" name=";102" dataDxfId="4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2" name="Tableau4" displayName="Tableau4" ref="A3:Y10" totalsRowShown="0" headerRowDxfId="3" tableBorderDxfId="2">
  <autoFilter ref="A3:Y10"/>
  <tableColumns count="25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25" name=";103" dataDxfId="1"/>
    <tableColumn id="24" name=";102" dataDxfId="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1"/>
  <sheetViews>
    <sheetView view="pageLayout" topLeftCell="A31" zoomScaleNormal="100" workbookViewId="0">
      <selection activeCell="D44" sqref="D44"/>
    </sheetView>
  </sheetViews>
  <sheetFormatPr baseColWidth="10" defaultRowHeight="15" x14ac:dyDescent="0.25"/>
  <cols>
    <col min="1" max="1" width="8.42578125" customWidth="1"/>
    <col min="2" max="2" width="16.7109375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51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ht="12.75" customHeight="1" x14ac:dyDescent="0.3">
      <c r="A14" s="101"/>
      <c r="B14" s="102"/>
      <c r="C14" s="132" t="s">
        <v>0</v>
      </c>
      <c r="D14" s="133"/>
      <c r="E14" s="133"/>
      <c r="F14" s="134"/>
      <c r="G14" s="132" t="s">
        <v>1</v>
      </c>
      <c r="H14" s="133"/>
      <c r="I14" s="133"/>
      <c r="J14" s="134"/>
      <c r="K14" s="129" t="s">
        <v>52</v>
      </c>
      <c r="L14" s="125"/>
      <c r="M14" s="101"/>
      <c r="N14" s="102"/>
    </row>
    <row r="15" spans="1:14" ht="18.75" customHeight="1" x14ac:dyDescent="0.25">
      <c r="A15" s="103"/>
      <c r="B15" s="104"/>
      <c r="C15" s="137" t="s">
        <v>2</v>
      </c>
      <c r="D15" s="138"/>
      <c r="E15" s="135" t="s">
        <v>68</v>
      </c>
      <c r="F15" s="139" t="s">
        <v>70</v>
      </c>
      <c r="G15" s="137" t="s">
        <v>2</v>
      </c>
      <c r="H15" s="138"/>
      <c r="I15" s="135" t="s">
        <v>54</v>
      </c>
      <c r="J15" s="129" t="s">
        <v>53</v>
      </c>
      <c r="K15" s="130"/>
      <c r="L15" s="126"/>
      <c r="M15" s="123"/>
      <c r="N15" s="124"/>
    </row>
    <row r="16" spans="1:14" ht="13.5" customHeight="1" x14ac:dyDescent="0.25">
      <c r="A16" s="123"/>
      <c r="B16" s="124"/>
      <c r="C16" s="50" t="s">
        <v>55</v>
      </c>
      <c r="D16" s="2" t="s">
        <v>56</v>
      </c>
      <c r="E16" s="136"/>
      <c r="F16" s="140"/>
      <c r="G16" s="2" t="s">
        <v>57</v>
      </c>
      <c r="H16" s="2" t="s">
        <v>58</v>
      </c>
      <c r="I16" s="136"/>
      <c r="J16" s="131"/>
      <c r="K16" s="131"/>
      <c r="L16" s="126"/>
      <c r="M16" s="2" t="s">
        <v>3</v>
      </c>
      <c r="N16" s="2" t="s">
        <v>4</v>
      </c>
    </row>
    <row r="17" spans="1:14" ht="15.75" x14ac:dyDescent="0.3">
      <c r="A17" s="105" t="s">
        <v>5</v>
      </c>
      <c r="B17" s="106"/>
      <c r="C17" s="3">
        <v>10</v>
      </c>
      <c r="D17" s="3">
        <v>10</v>
      </c>
      <c r="E17" s="3">
        <v>20</v>
      </c>
      <c r="F17" s="3">
        <v>40</v>
      </c>
      <c r="G17" s="3">
        <v>10</v>
      </c>
      <c r="H17" s="3">
        <v>10</v>
      </c>
      <c r="I17" s="3">
        <v>20</v>
      </c>
      <c r="J17" s="3">
        <v>40</v>
      </c>
      <c r="K17" s="3">
        <v>80</v>
      </c>
      <c r="L17" s="126"/>
      <c r="M17" s="119"/>
      <c r="N17" s="120"/>
    </row>
    <row r="18" spans="1:14" ht="12" customHeight="1" x14ac:dyDescent="0.25">
      <c r="A18" s="109" t="s">
        <v>60</v>
      </c>
      <c r="B18" s="110"/>
      <c r="C18" s="15"/>
      <c r="D18" s="15"/>
      <c r="E18" s="15"/>
      <c r="F18" s="64">
        <f>SUM(C18:E18)</f>
        <v>0</v>
      </c>
      <c r="G18" s="15"/>
      <c r="H18" s="15"/>
      <c r="I18" s="15"/>
      <c r="J18" s="64">
        <f>SUM(G18:I18)</f>
        <v>0</v>
      </c>
      <c r="K18" s="64">
        <f>SUM(F18,J18)</f>
        <v>0</v>
      </c>
      <c r="L18" s="126"/>
      <c r="M18" s="1"/>
      <c r="N18" s="1"/>
    </row>
    <row r="19" spans="1:14" ht="12" customHeight="1" x14ac:dyDescent="0.25">
      <c r="A19" s="109" t="s">
        <v>61</v>
      </c>
      <c r="B19" s="110"/>
      <c r="C19" s="15"/>
      <c r="D19" s="15"/>
      <c r="E19" s="15"/>
      <c r="F19" s="64">
        <f t="shared" ref="F19:F20" si="0">SUM(C19:E19)</f>
        <v>0</v>
      </c>
      <c r="G19" s="15"/>
      <c r="H19" s="15"/>
      <c r="I19" s="15"/>
      <c r="J19" s="64">
        <f t="shared" ref="J19:J20" si="1">SUM(G19:I19)</f>
        <v>0</v>
      </c>
      <c r="K19" s="64">
        <f t="shared" ref="K19:K20" si="2">SUM(F19,J19)</f>
        <v>0</v>
      </c>
      <c r="L19" s="126"/>
      <c r="M19" s="1"/>
      <c r="N19" s="1"/>
    </row>
    <row r="20" spans="1:14" ht="12" customHeight="1" x14ac:dyDescent="0.25">
      <c r="A20" s="109" t="s">
        <v>66</v>
      </c>
      <c r="B20" s="110"/>
      <c r="C20" s="15"/>
      <c r="D20" s="15"/>
      <c r="E20" s="15"/>
      <c r="F20" s="64">
        <f t="shared" si="0"/>
        <v>0</v>
      </c>
      <c r="G20" s="15"/>
      <c r="H20" s="15"/>
      <c r="I20" s="15"/>
      <c r="J20" s="64">
        <f t="shared" si="1"/>
        <v>0</v>
      </c>
      <c r="K20" s="64">
        <f t="shared" si="2"/>
        <v>0</v>
      </c>
      <c r="L20" s="126"/>
      <c r="M20" s="1"/>
      <c r="N20" s="1"/>
    </row>
    <row r="21" spans="1:14" ht="14.25" customHeight="1" x14ac:dyDescent="0.3">
      <c r="A21" s="105" t="s">
        <v>5</v>
      </c>
      <c r="B21" s="106"/>
      <c r="C21" s="3">
        <v>20</v>
      </c>
      <c r="D21" s="3">
        <v>20</v>
      </c>
      <c r="E21" s="62">
        <v>40</v>
      </c>
      <c r="F21" s="3">
        <v>80</v>
      </c>
      <c r="G21" s="3">
        <v>20</v>
      </c>
      <c r="H21" s="3">
        <v>20</v>
      </c>
      <c r="I21" s="62">
        <v>40</v>
      </c>
      <c r="J21" s="3">
        <v>80</v>
      </c>
      <c r="K21" s="3">
        <v>160</v>
      </c>
      <c r="L21" s="126"/>
      <c r="M21" s="119"/>
      <c r="N21" s="120"/>
    </row>
    <row r="22" spans="1:14" ht="12" customHeight="1" x14ac:dyDescent="0.25">
      <c r="A22" s="109" t="s">
        <v>71</v>
      </c>
      <c r="B22" s="110"/>
      <c r="C22" s="15"/>
      <c r="D22" s="15"/>
      <c r="E22" s="60"/>
      <c r="F22" s="64">
        <f>SUM(C22:E22)</f>
        <v>0</v>
      </c>
      <c r="G22" s="15"/>
      <c r="H22" s="15"/>
      <c r="I22" s="60"/>
      <c r="J22" s="64">
        <f>SUM(G22:I22)</f>
        <v>0</v>
      </c>
      <c r="K22" s="64">
        <f>SUM(F22,J22)</f>
        <v>0</v>
      </c>
      <c r="L22" s="126"/>
      <c r="M22" s="1"/>
      <c r="N22" s="1"/>
    </row>
    <row r="23" spans="1:14" ht="12" customHeight="1" x14ac:dyDescent="0.25">
      <c r="A23" s="109" t="s">
        <v>59</v>
      </c>
      <c r="B23" s="110"/>
      <c r="C23" s="2"/>
      <c r="D23" s="57"/>
      <c r="E23" s="57"/>
      <c r="F23" s="64">
        <f t="shared" ref="F23:F30" si="3">SUM(C23:E23)</f>
        <v>0</v>
      </c>
      <c r="G23" s="57"/>
      <c r="H23" s="57"/>
      <c r="I23" s="57"/>
      <c r="J23" s="64">
        <f t="shared" ref="J23:J30" si="4">SUM(G23:I23)</f>
        <v>0</v>
      </c>
      <c r="K23" s="64">
        <f t="shared" ref="K23:K30" si="5">SUM(F23,J23)</f>
        <v>0</v>
      </c>
      <c r="L23" s="126"/>
      <c r="M23" s="1"/>
      <c r="N23" s="1"/>
    </row>
    <row r="24" spans="1:14" ht="12" customHeight="1" x14ac:dyDescent="0.25">
      <c r="A24" s="109" t="s">
        <v>67</v>
      </c>
      <c r="B24" s="110"/>
      <c r="C24" s="15"/>
      <c r="D24" s="15"/>
      <c r="E24" s="15"/>
      <c r="F24" s="64">
        <f t="shared" si="3"/>
        <v>0</v>
      </c>
      <c r="G24" s="15"/>
      <c r="H24" s="15"/>
      <c r="I24" s="15"/>
      <c r="J24" s="64">
        <f t="shared" si="4"/>
        <v>0</v>
      </c>
      <c r="K24" s="64">
        <f t="shared" si="5"/>
        <v>0</v>
      </c>
      <c r="L24" s="126"/>
      <c r="M24" s="1"/>
      <c r="N24" s="1"/>
    </row>
    <row r="25" spans="1:14" s="20" customFormat="1" ht="12" customHeight="1" x14ac:dyDescent="0.25">
      <c r="A25" s="109" t="s">
        <v>62</v>
      </c>
      <c r="B25" s="110"/>
      <c r="C25" s="15"/>
      <c r="D25" s="15"/>
      <c r="E25" s="15"/>
      <c r="F25" s="64">
        <f t="shared" si="3"/>
        <v>0</v>
      </c>
      <c r="G25" s="15"/>
      <c r="H25" s="15"/>
      <c r="I25" s="15"/>
      <c r="J25" s="64">
        <f t="shared" si="4"/>
        <v>0</v>
      </c>
      <c r="K25" s="64">
        <f t="shared" si="5"/>
        <v>0</v>
      </c>
      <c r="L25" s="126"/>
      <c r="M25" s="1"/>
      <c r="N25" s="1"/>
    </row>
    <row r="26" spans="1:14" ht="12" customHeight="1" x14ac:dyDescent="0.25">
      <c r="A26" s="109" t="s">
        <v>72</v>
      </c>
      <c r="B26" s="110"/>
      <c r="C26" s="15"/>
      <c r="D26" s="15"/>
      <c r="E26" s="15"/>
      <c r="F26" s="64">
        <f t="shared" si="3"/>
        <v>0</v>
      </c>
      <c r="G26" s="15"/>
      <c r="H26" s="15"/>
      <c r="I26" s="15"/>
      <c r="J26" s="64">
        <f t="shared" si="4"/>
        <v>0</v>
      </c>
      <c r="K26" s="64">
        <f t="shared" si="5"/>
        <v>0</v>
      </c>
      <c r="L26" s="126"/>
      <c r="M26" s="1"/>
      <c r="N26" s="1"/>
    </row>
    <row r="27" spans="1:14" s="20" customFormat="1" ht="12" customHeight="1" x14ac:dyDescent="0.25">
      <c r="A27" s="109" t="s">
        <v>73</v>
      </c>
      <c r="B27" s="110"/>
      <c r="C27" s="15"/>
      <c r="D27" s="15"/>
      <c r="E27" s="15"/>
      <c r="F27" s="64">
        <f t="shared" si="3"/>
        <v>0</v>
      </c>
      <c r="G27" s="15"/>
      <c r="H27" s="15"/>
      <c r="I27" s="15"/>
      <c r="J27" s="64">
        <f t="shared" si="4"/>
        <v>0</v>
      </c>
      <c r="K27" s="64">
        <f t="shared" si="5"/>
        <v>0</v>
      </c>
      <c r="L27" s="126"/>
      <c r="M27" s="53"/>
      <c r="N27" s="45"/>
    </row>
    <row r="28" spans="1:14" s="20" customFormat="1" ht="12" customHeight="1" x14ac:dyDescent="0.25">
      <c r="A28" s="109" t="s">
        <v>74</v>
      </c>
      <c r="B28" s="110"/>
      <c r="C28" s="15"/>
      <c r="D28" s="15"/>
      <c r="E28" s="15"/>
      <c r="F28" s="64">
        <f t="shared" si="3"/>
        <v>0</v>
      </c>
      <c r="G28" s="15"/>
      <c r="H28" s="15"/>
      <c r="I28" s="15"/>
      <c r="J28" s="64">
        <f t="shared" si="4"/>
        <v>0</v>
      </c>
      <c r="K28" s="64">
        <f t="shared" si="5"/>
        <v>0</v>
      </c>
      <c r="L28" s="126"/>
      <c r="M28" s="53"/>
      <c r="N28" s="45"/>
    </row>
    <row r="29" spans="1:14" s="20" customFormat="1" ht="12" customHeight="1" x14ac:dyDescent="0.25">
      <c r="A29" s="109" t="s">
        <v>75</v>
      </c>
      <c r="B29" s="110"/>
      <c r="C29" s="15"/>
      <c r="D29" s="15"/>
      <c r="E29" s="15"/>
      <c r="F29" s="64">
        <f t="shared" si="3"/>
        <v>0</v>
      </c>
      <c r="G29" s="15"/>
      <c r="H29" s="15"/>
      <c r="I29" s="15"/>
      <c r="J29" s="64">
        <f t="shared" si="4"/>
        <v>0</v>
      </c>
      <c r="K29" s="64">
        <f t="shared" si="5"/>
        <v>0</v>
      </c>
      <c r="L29" s="126"/>
      <c r="M29" s="53"/>
      <c r="N29" s="45"/>
    </row>
    <row r="30" spans="1:14" s="20" customFormat="1" ht="12" customHeight="1" x14ac:dyDescent="0.25">
      <c r="A30" s="109" t="s">
        <v>76</v>
      </c>
      <c r="B30" s="110"/>
      <c r="C30" s="15"/>
      <c r="D30" s="15"/>
      <c r="E30" s="15"/>
      <c r="F30" s="64">
        <f t="shared" si="3"/>
        <v>0</v>
      </c>
      <c r="G30" s="15"/>
      <c r="H30" s="15"/>
      <c r="I30" s="15"/>
      <c r="J30" s="64">
        <f t="shared" si="4"/>
        <v>0</v>
      </c>
      <c r="K30" s="64">
        <f t="shared" si="5"/>
        <v>0</v>
      </c>
      <c r="L30" s="126"/>
      <c r="M30" s="53"/>
      <c r="N30" s="45"/>
    </row>
    <row r="31" spans="1:14" s="20" customFormat="1" ht="14.25" customHeight="1" x14ac:dyDescent="0.25">
      <c r="A31" s="105" t="s">
        <v>5</v>
      </c>
      <c r="B31" s="106"/>
      <c r="C31" s="57">
        <v>30</v>
      </c>
      <c r="D31" s="57">
        <v>30</v>
      </c>
      <c r="E31" s="61">
        <v>60</v>
      </c>
      <c r="F31" s="58">
        <v>120</v>
      </c>
      <c r="G31" s="57">
        <v>30</v>
      </c>
      <c r="H31" s="57">
        <v>30</v>
      </c>
      <c r="I31" s="61">
        <v>60</v>
      </c>
      <c r="J31" s="58">
        <v>120</v>
      </c>
      <c r="K31" s="58">
        <v>240</v>
      </c>
      <c r="L31" s="126"/>
      <c r="M31" s="54"/>
      <c r="N31" s="55"/>
    </row>
    <row r="32" spans="1:14" s="20" customFormat="1" ht="13.5" customHeight="1" x14ac:dyDescent="0.25">
      <c r="A32" s="109" t="s">
        <v>65</v>
      </c>
      <c r="B32" s="110"/>
      <c r="C32" s="15"/>
      <c r="D32" s="15"/>
      <c r="E32" s="59"/>
      <c r="F32" s="64">
        <f>SUM(C32:E32)</f>
        <v>0</v>
      </c>
      <c r="G32" s="15"/>
      <c r="H32" s="15"/>
      <c r="I32" s="60"/>
      <c r="J32" s="64">
        <f>SUM(G32:I32)</f>
        <v>0</v>
      </c>
      <c r="K32" s="64">
        <f>SUM(F32,J32)</f>
        <v>0</v>
      </c>
      <c r="L32" s="126"/>
      <c r="M32" s="53"/>
      <c r="N32" s="45"/>
    </row>
    <row r="33" spans="1:14" s="20" customFormat="1" ht="13.5" customHeight="1" x14ac:dyDescent="0.25">
      <c r="A33" s="109" t="s">
        <v>77</v>
      </c>
      <c r="B33" s="110"/>
      <c r="C33" s="15"/>
      <c r="D33" s="15"/>
      <c r="E33" s="59"/>
      <c r="F33" s="64">
        <f t="shared" ref="F33:F34" si="6">SUM(C33:E33)</f>
        <v>0</v>
      </c>
      <c r="G33" s="15"/>
      <c r="H33" s="15"/>
      <c r="I33" s="60"/>
      <c r="J33" s="64">
        <f t="shared" ref="J33:J34" si="7">SUM(G33:I33)</f>
        <v>0</v>
      </c>
      <c r="K33" s="64">
        <f t="shared" ref="K33:K34" si="8">SUM(F33,J33)</f>
        <v>0</v>
      </c>
      <c r="L33" s="126"/>
      <c r="M33" s="53"/>
      <c r="N33" s="45"/>
    </row>
    <row r="34" spans="1:14" s="20" customFormat="1" ht="13.5" customHeight="1" x14ac:dyDescent="0.25">
      <c r="A34" s="109" t="s">
        <v>114</v>
      </c>
      <c r="B34" s="110"/>
      <c r="C34" s="15"/>
      <c r="D34" s="15"/>
      <c r="E34" s="59"/>
      <c r="F34" s="64">
        <f t="shared" si="6"/>
        <v>0</v>
      </c>
      <c r="G34" s="15"/>
      <c r="H34" s="15"/>
      <c r="I34" s="60"/>
      <c r="J34" s="64">
        <f t="shared" si="7"/>
        <v>0</v>
      </c>
      <c r="K34" s="64">
        <f t="shared" si="8"/>
        <v>0</v>
      </c>
      <c r="L34" s="126"/>
      <c r="M34" s="53"/>
      <c r="N34" s="45"/>
    </row>
    <row r="35" spans="1:14" s="20" customFormat="1" ht="13.5" customHeight="1" x14ac:dyDescent="0.25">
      <c r="A35" s="105" t="s">
        <v>5</v>
      </c>
      <c r="B35" s="106"/>
      <c r="C35" s="57">
        <v>40</v>
      </c>
      <c r="D35" s="57">
        <v>40</v>
      </c>
      <c r="E35" s="57">
        <v>80</v>
      </c>
      <c r="F35" s="58">
        <v>160</v>
      </c>
      <c r="G35" s="57">
        <v>40</v>
      </c>
      <c r="H35" s="57">
        <v>40</v>
      </c>
      <c r="I35" s="57">
        <v>80</v>
      </c>
      <c r="J35" s="58">
        <v>160</v>
      </c>
      <c r="K35" s="58">
        <v>320</v>
      </c>
      <c r="L35" s="126"/>
      <c r="M35" s="54"/>
      <c r="N35" s="55"/>
    </row>
    <row r="36" spans="1:14" s="20" customFormat="1" ht="13.5" customHeight="1" x14ac:dyDescent="0.25">
      <c r="A36" s="109" t="s">
        <v>78</v>
      </c>
      <c r="B36" s="110"/>
      <c r="C36" s="15"/>
      <c r="D36" s="15"/>
      <c r="E36" s="15"/>
      <c r="F36" s="64">
        <f>SUM(C36:E36)</f>
        <v>0</v>
      </c>
      <c r="G36" s="15"/>
      <c r="H36" s="15"/>
      <c r="I36" s="15"/>
      <c r="J36" s="64">
        <f>SUM(G36:I36)</f>
        <v>0</v>
      </c>
      <c r="K36" s="64">
        <f>SUM(F36,J36)</f>
        <v>0</v>
      </c>
      <c r="L36" s="126"/>
      <c r="M36" s="53"/>
      <c r="N36" s="45"/>
    </row>
    <row r="37" spans="1:14" s="20" customFormat="1" ht="13.5" customHeight="1" x14ac:dyDescent="0.25">
      <c r="A37" s="109" t="s">
        <v>79</v>
      </c>
      <c r="B37" s="110"/>
      <c r="C37" s="15"/>
      <c r="D37" s="15"/>
      <c r="E37" s="15"/>
      <c r="F37" s="64">
        <f t="shared" ref="F37:F39" si="9">SUM(C37:E37)</f>
        <v>0</v>
      </c>
      <c r="G37" s="15"/>
      <c r="H37" s="15"/>
      <c r="I37" s="15"/>
      <c r="J37" s="64">
        <f t="shared" ref="J37:J39" si="10">SUM(G37:I37)</f>
        <v>0</v>
      </c>
      <c r="K37" s="64">
        <f t="shared" ref="K37:K39" si="11">SUM(F37,J37)</f>
        <v>0</v>
      </c>
      <c r="L37" s="126"/>
      <c r="M37" s="53"/>
      <c r="N37" s="45"/>
    </row>
    <row r="38" spans="1:14" s="20" customFormat="1" ht="13.5" customHeight="1" x14ac:dyDescent="0.25">
      <c r="A38" s="109" t="s">
        <v>115</v>
      </c>
      <c r="B38" s="110"/>
      <c r="C38" s="15"/>
      <c r="D38" s="15"/>
      <c r="E38" s="15"/>
      <c r="F38" s="64">
        <f t="shared" si="9"/>
        <v>0</v>
      </c>
      <c r="G38" s="15"/>
      <c r="H38" s="15"/>
      <c r="I38" s="15"/>
      <c r="J38" s="64">
        <f t="shared" si="10"/>
        <v>0</v>
      </c>
      <c r="K38" s="64">
        <f t="shared" si="11"/>
        <v>0</v>
      </c>
      <c r="L38" s="126"/>
      <c r="M38" s="53"/>
      <c r="N38" s="45"/>
    </row>
    <row r="39" spans="1:14" s="20" customFormat="1" ht="13.5" customHeight="1" x14ac:dyDescent="0.25">
      <c r="A39" s="109" t="s">
        <v>80</v>
      </c>
      <c r="B39" s="110"/>
      <c r="C39" s="15"/>
      <c r="D39" s="15"/>
      <c r="E39" s="15"/>
      <c r="F39" s="64">
        <f t="shared" si="9"/>
        <v>0</v>
      </c>
      <c r="G39" s="15"/>
      <c r="H39" s="15"/>
      <c r="I39" s="15"/>
      <c r="J39" s="64">
        <f t="shared" si="10"/>
        <v>0</v>
      </c>
      <c r="K39" s="64">
        <f t="shared" si="11"/>
        <v>0</v>
      </c>
      <c r="L39" s="126"/>
      <c r="M39" s="53"/>
      <c r="N39" s="45"/>
    </row>
    <row r="40" spans="1:14" s="20" customFormat="1" ht="13.5" customHeight="1" x14ac:dyDescent="0.25">
      <c r="A40" s="105" t="s">
        <v>5</v>
      </c>
      <c r="B40" s="106"/>
      <c r="C40" s="57">
        <v>50</v>
      </c>
      <c r="D40" s="57">
        <v>50</v>
      </c>
      <c r="E40" s="57">
        <v>100</v>
      </c>
      <c r="F40" s="58">
        <v>200</v>
      </c>
      <c r="G40" s="57">
        <v>50</v>
      </c>
      <c r="H40" s="57">
        <v>50</v>
      </c>
      <c r="I40" s="57">
        <v>100</v>
      </c>
      <c r="J40" s="58">
        <v>200</v>
      </c>
      <c r="K40" s="58">
        <v>400</v>
      </c>
      <c r="L40" s="126"/>
      <c r="M40" s="63"/>
      <c r="N40" s="63"/>
    </row>
    <row r="41" spans="1:14" s="20" customFormat="1" ht="13.5" customHeight="1" x14ac:dyDescent="0.25">
      <c r="A41" s="109" t="s">
        <v>63</v>
      </c>
      <c r="B41" s="110"/>
      <c r="C41" s="15"/>
      <c r="D41" s="15"/>
      <c r="E41" s="15"/>
      <c r="F41" s="64">
        <f>SUM(C41:E41)</f>
        <v>0</v>
      </c>
      <c r="G41" s="15"/>
      <c r="H41" s="15"/>
      <c r="I41" s="15"/>
      <c r="J41" s="64">
        <f>SUM(G41:I41)</f>
        <v>0</v>
      </c>
      <c r="K41" s="64">
        <f>SUM(F41,J41)</f>
        <v>0</v>
      </c>
      <c r="L41" s="126"/>
      <c r="M41" s="1"/>
      <c r="N41" s="1"/>
    </row>
    <row r="42" spans="1:14" s="20" customFormat="1" ht="13.5" customHeight="1" x14ac:dyDescent="0.25">
      <c r="A42" s="109" t="s">
        <v>69</v>
      </c>
      <c r="B42" s="110"/>
      <c r="C42" s="15"/>
      <c r="D42" s="15"/>
      <c r="E42" s="15"/>
      <c r="F42" s="64">
        <f>SUM(C42:E42)</f>
        <v>0</v>
      </c>
      <c r="G42" s="15"/>
      <c r="H42" s="15"/>
      <c r="I42" s="15"/>
      <c r="J42" s="64">
        <f>SUM(G42:I42)</f>
        <v>0</v>
      </c>
      <c r="K42" s="64">
        <f>SUM(F42,J42)</f>
        <v>0</v>
      </c>
      <c r="L42" s="126"/>
      <c r="M42" s="44"/>
      <c r="N42" s="56"/>
    </row>
    <row r="43" spans="1:14" ht="13.5" customHeight="1" x14ac:dyDescent="0.3">
      <c r="A43" s="105" t="s">
        <v>5</v>
      </c>
      <c r="B43" s="106"/>
      <c r="C43" s="3">
        <v>100</v>
      </c>
      <c r="D43" s="3">
        <v>100</v>
      </c>
      <c r="E43" s="51"/>
      <c r="F43" s="3">
        <v>200</v>
      </c>
      <c r="G43" s="3">
        <v>100</v>
      </c>
      <c r="H43" s="3">
        <v>100</v>
      </c>
      <c r="I43" s="52"/>
      <c r="J43" s="3">
        <v>200</v>
      </c>
      <c r="K43" s="3">
        <f>SUM(F43,J43)</f>
        <v>400</v>
      </c>
      <c r="L43" s="126"/>
      <c r="M43" s="127"/>
      <c r="N43" s="128"/>
    </row>
    <row r="44" spans="1:14" s="20" customFormat="1" ht="13.5" customHeight="1" x14ac:dyDescent="0.25">
      <c r="A44" s="121" t="s">
        <v>64</v>
      </c>
      <c r="B44" s="122"/>
      <c r="C44" s="15"/>
      <c r="D44" s="15"/>
      <c r="E44" s="52"/>
      <c r="F44" s="16">
        <f>SUM(C44:D44)</f>
        <v>0</v>
      </c>
      <c r="G44" s="15"/>
      <c r="H44" s="15"/>
      <c r="I44" s="52"/>
      <c r="J44" s="16">
        <f>SUM(G44:H44)</f>
        <v>0</v>
      </c>
      <c r="K44" s="16">
        <f>SUM(F44,J44)</f>
        <v>0</v>
      </c>
      <c r="L44" s="126"/>
      <c r="M44" s="53"/>
      <c r="N44" s="45"/>
    </row>
    <row r="45" spans="1:14" ht="15" customHeight="1" x14ac:dyDescent="0.3">
      <c r="A45" s="105" t="s">
        <v>6</v>
      </c>
      <c r="B45" s="106"/>
      <c r="C45" s="4">
        <v>360</v>
      </c>
      <c r="D45" s="4">
        <v>360</v>
      </c>
      <c r="E45" s="4">
        <v>720</v>
      </c>
      <c r="F45" s="4">
        <v>1440</v>
      </c>
      <c r="G45" s="4">
        <v>360</v>
      </c>
      <c r="H45" s="4">
        <v>360</v>
      </c>
      <c r="I45" s="4">
        <v>720</v>
      </c>
      <c r="J45" s="4">
        <v>1440</v>
      </c>
      <c r="K45" s="65">
        <v>2880</v>
      </c>
      <c r="L45" s="126"/>
      <c r="M45" s="119"/>
      <c r="N45" s="120"/>
    </row>
    <row r="46" spans="1:14" ht="15" customHeight="1" x14ac:dyDescent="0.3">
      <c r="A46" s="107" t="s">
        <v>7</v>
      </c>
      <c r="B46" s="108"/>
      <c r="C46" s="15">
        <f>SUM(C18:C20,C22:C30,C32:C34,C36:C39,C41:C42,C44)</f>
        <v>0</v>
      </c>
      <c r="D46" s="15">
        <f>SUM(D18:D20,D22:D30,D32:D34,D36:D39,D41:D42,D44)</f>
        <v>0</v>
      </c>
      <c r="E46" s="15">
        <f>SUM(E18:E20,E22:E30,E32:E34,E36:E39,E41:E42)</f>
        <v>0</v>
      </c>
      <c r="F46" s="15">
        <f>SUM(F18:F20,F22:F30,F32:F34,F36:F39,F41:F42,F44)</f>
        <v>0</v>
      </c>
      <c r="G46" s="15">
        <f>SUM(G18:G20,G22:G30,G32:G34,G36:G39,G41:G42,G44)</f>
        <v>0</v>
      </c>
      <c r="H46" s="15">
        <f>SUM(H18:H20,H22:H30,H32:H34,H36:H39,H41:H42,H44)</f>
        <v>0</v>
      </c>
      <c r="I46" s="15">
        <f>SUM(I18:I20,I22:I30,I32:I34,I36:I39,I41:I42)</f>
        <v>0</v>
      </c>
      <c r="J46" s="15">
        <f>SUM(J18:J20,J22:J30,J32:J34,J36:J39,J41:J42,J44)</f>
        <v>0</v>
      </c>
      <c r="K46" s="15">
        <f>SUM(K18:K20,K22:K30,K32:K34,K36:K39,K41:K42,K44)</f>
        <v>0</v>
      </c>
      <c r="L46" s="126"/>
      <c r="M46" s="101"/>
      <c r="N46" s="102"/>
    </row>
    <row r="47" spans="1:14" ht="15" customHeight="1" x14ac:dyDescent="0.3">
      <c r="A47" s="107" t="s">
        <v>8</v>
      </c>
      <c r="B47" s="108"/>
      <c r="C47" s="15">
        <f>ROUND(((C46*100)/C45),1)</f>
        <v>0</v>
      </c>
      <c r="D47" s="15">
        <f t="shared" ref="D47:K47" si="12">ROUND(((D46*100)/D45),1)</f>
        <v>0</v>
      </c>
      <c r="E47" s="15">
        <f>ROUND(((E46*100)/E45),1)</f>
        <v>0</v>
      </c>
      <c r="F47" s="15">
        <f>ROUND(((F46*100)/F45),1)</f>
        <v>0</v>
      </c>
      <c r="G47" s="15">
        <f t="shared" si="12"/>
        <v>0</v>
      </c>
      <c r="H47" s="15">
        <f t="shared" si="12"/>
        <v>0</v>
      </c>
      <c r="I47" s="15">
        <f>ROUND(((I46*100)/I45),1)</f>
        <v>0</v>
      </c>
      <c r="J47" s="15">
        <f t="shared" si="12"/>
        <v>0</v>
      </c>
      <c r="K47" s="15">
        <f t="shared" si="12"/>
        <v>0</v>
      </c>
      <c r="L47" s="126"/>
      <c r="M47" s="103"/>
      <c r="N47" s="104"/>
    </row>
    <row r="48" spans="1:14" ht="15" customHeight="1" x14ac:dyDescent="0.25">
      <c r="A48" s="111" t="s">
        <v>9</v>
      </c>
      <c r="B48" s="112"/>
      <c r="C48" s="13">
        <v>70</v>
      </c>
      <c r="D48" s="5"/>
      <c r="E48" s="5"/>
      <c r="F48" s="5"/>
      <c r="G48" s="5"/>
      <c r="H48" s="5"/>
      <c r="I48" s="5"/>
      <c r="J48" s="5"/>
      <c r="K48" s="5"/>
      <c r="L48" s="126"/>
      <c r="M48" s="103"/>
      <c r="N48" s="104"/>
    </row>
    <row r="49" spans="1:14" ht="15" customHeight="1" x14ac:dyDescent="0.3">
      <c r="A49" s="107" t="s">
        <v>10</v>
      </c>
      <c r="B49" s="108"/>
      <c r="C49" s="5"/>
      <c r="D49" s="5"/>
      <c r="E49" s="113"/>
      <c r="F49" s="114"/>
      <c r="G49" s="5"/>
      <c r="H49" s="5"/>
      <c r="I49" s="113"/>
      <c r="J49" s="114"/>
      <c r="K49" s="117"/>
      <c r="L49" s="126"/>
      <c r="M49" s="103"/>
      <c r="N49" s="104"/>
    </row>
    <row r="50" spans="1:14" ht="15" customHeight="1" x14ac:dyDescent="0.3">
      <c r="A50" s="107" t="s">
        <v>11</v>
      </c>
      <c r="B50" s="108"/>
      <c r="C50" s="5"/>
      <c r="D50" s="5"/>
      <c r="E50" s="115"/>
      <c r="F50" s="116"/>
      <c r="G50" s="5"/>
      <c r="H50" s="5"/>
      <c r="I50" s="115"/>
      <c r="J50" s="116"/>
      <c r="K50" s="118"/>
      <c r="L50" s="126"/>
      <c r="M50" s="103"/>
      <c r="N50" s="104"/>
    </row>
    <row r="51" spans="1:14" ht="15" customHeight="1" x14ac:dyDescent="0.25">
      <c r="A51" s="99" t="s">
        <v>12</v>
      </c>
      <c r="B51" s="100"/>
      <c r="C51" s="46"/>
      <c r="D51" s="48"/>
      <c r="E51" s="48"/>
      <c r="F51" s="47"/>
      <c r="G51" s="46"/>
      <c r="H51" s="48"/>
      <c r="I51" s="48"/>
      <c r="J51" s="48"/>
      <c r="K51" s="47"/>
      <c r="L51" s="126"/>
      <c r="M51" s="103"/>
      <c r="N51" s="104"/>
    </row>
    <row r="52" spans="1:14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  <row r="61" spans="1:14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</row>
  </sheetData>
  <mergeCells count="54">
    <mergeCell ref="A22:B22"/>
    <mergeCell ref="A24:B24"/>
    <mergeCell ref="A26:B26"/>
    <mergeCell ref="A30:B30"/>
    <mergeCell ref="A33:B33"/>
    <mergeCell ref="K14:K16"/>
    <mergeCell ref="G14:J14"/>
    <mergeCell ref="E15:E16"/>
    <mergeCell ref="C15:D15"/>
    <mergeCell ref="G15:H15"/>
    <mergeCell ref="I15:I16"/>
    <mergeCell ref="J15:J16"/>
    <mergeCell ref="F15:F16"/>
    <mergeCell ref="C14:F14"/>
    <mergeCell ref="M21:N21"/>
    <mergeCell ref="M17:N17"/>
    <mergeCell ref="M14:N15"/>
    <mergeCell ref="L14:L51"/>
    <mergeCell ref="M43:N43"/>
    <mergeCell ref="A14:B16"/>
    <mergeCell ref="A17:B17"/>
    <mergeCell ref="A21:B21"/>
    <mergeCell ref="A18:B18"/>
    <mergeCell ref="A19:B19"/>
    <mergeCell ref="A20:B20"/>
    <mergeCell ref="A35:B35"/>
    <mergeCell ref="A36:B36"/>
    <mergeCell ref="A44:B44"/>
    <mergeCell ref="A23:B23"/>
    <mergeCell ref="A27:B27"/>
    <mergeCell ref="A32:B32"/>
    <mergeCell ref="A37:B37"/>
    <mergeCell ref="A34:B34"/>
    <mergeCell ref="A38:B38"/>
    <mergeCell ref="A39:B39"/>
    <mergeCell ref="A42:B42"/>
    <mergeCell ref="A25:B25"/>
    <mergeCell ref="A28:B28"/>
    <mergeCell ref="A29:B29"/>
    <mergeCell ref="A31:B31"/>
    <mergeCell ref="A51:B51"/>
    <mergeCell ref="M46:N51"/>
    <mergeCell ref="A45:B45"/>
    <mergeCell ref="A46:B46"/>
    <mergeCell ref="A40:B40"/>
    <mergeCell ref="A43:B43"/>
    <mergeCell ref="A41:B41"/>
    <mergeCell ref="A47:B47"/>
    <mergeCell ref="A48:B48"/>
    <mergeCell ref="E49:F50"/>
    <mergeCell ref="I49:K50"/>
    <mergeCell ref="A49:B49"/>
    <mergeCell ref="A50:B50"/>
    <mergeCell ref="M45:N45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59"/>
  <sheetViews>
    <sheetView showGridLines="0" topLeftCell="A50" zoomScaleNormal="100" workbookViewId="0">
      <selection activeCell="F62" sqref="F62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11</v>
      </c>
    </row>
    <row r="5" spans="1:6" ht="16.5" x14ac:dyDescent="0.3">
      <c r="A5" s="37">
        <v>1</v>
      </c>
      <c r="B5" s="37" t="s">
        <v>129</v>
      </c>
      <c r="C5" s="37" t="s">
        <v>130</v>
      </c>
      <c r="D5" s="37"/>
      <c r="E5" s="37"/>
    </row>
    <row r="6" spans="1:6" ht="16.5" x14ac:dyDescent="0.3">
      <c r="A6" s="37">
        <f>A5+1</f>
        <v>2</v>
      </c>
      <c r="B6" s="37" t="s">
        <v>131</v>
      </c>
      <c r="C6" s="37" t="s">
        <v>132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133</v>
      </c>
      <c r="C7" s="37" t="s">
        <v>134</v>
      </c>
      <c r="D7" s="37"/>
      <c r="E7" s="37"/>
    </row>
    <row r="8" spans="1:6" ht="16.5" x14ac:dyDescent="0.3">
      <c r="A8" s="37">
        <f t="shared" si="0"/>
        <v>4</v>
      </c>
      <c r="B8" s="37" t="s">
        <v>135</v>
      </c>
      <c r="C8" s="37" t="s">
        <v>136</v>
      </c>
      <c r="D8" s="37"/>
      <c r="E8" s="37"/>
    </row>
    <row r="9" spans="1:6" ht="16.5" x14ac:dyDescent="0.3">
      <c r="A9" s="37">
        <f t="shared" ref="A9:A59" si="1">A8+1</f>
        <v>5</v>
      </c>
      <c r="B9" s="37" t="s">
        <v>137</v>
      </c>
      <c r="C9" s="37" t="s">
        <v>138</v>
      </c>
      <c r="D9" s="37"/>
      <c r="E9" s="37"/>
    </row>
    <row r="10" spans="1:6" ht="16.5" x14ac:dyDescent="0.3">
      <c r="A10" s="37">
        <f t="shared" si="1"/>
        <v>6</v>
      </c>
      <c r="B10" s="37" t="s">
        <v>139</v>
      </c>
      <c r="C10" s="37" t="s">
        <v>140</v>
      </c>
      <c r="D10" s="37"/>
      <c r="E10" s="37"/>
    </row>
    <row r="11" spans="1:6" ht="16.5" x14ac:dyDescent="0.3">
      <c r="A11" s="37">
        <f t="shared" si="1"/>
        <v>7</v>
      </c>
      <c r="B11" s="37" t="s">
        <v>141</v>
      </c>
      <c r="C11" s="37" t="s">
        <v>142</v>
      </c>
      <c r="D11" s="37"/>
      <c r="E11" s="37"/>
    </row>
    <row r="12" spans="1:6" ht="16.5" x14ac:dyDescent="0.3">
      <c r="A12" s="37">
        <f t="shared" si="1"/>
        <v>8</v>
      </c>
      <c r="B12" s="37" t="s">
        <v>143</v>
      </c>
      <c r="C12" s="37" t="s">
        <v>144</v>
      </c>
      <c r="D12" s="37"/>
      <c r="E12" s="37"/>
    </row>
    <row r="13" spans="1:6" ht="16.5" x14ac:dyDescent="0.3">
      <c r="A13" s="37">
        <f t="shared" si="1"/>
        <v>9</v>
      </c>
      <c r="B13" s="37" t="s">
        <v>145</v>
      </c>
      <c r="C13" s="37" t="s">
        <v>146</v>
      </c>
      <c r="D13" s="37"/>
      <c r="E13" s="37"/>
    </row>
    <row r="14" spans="1:6" ht="16.5" x14ac:dyDescent="0.3">
      <c r="A14" s="37">
        <f t="shared" si="1"/>
        <v>10</v>
      </c>
      <c r="B14" s="37" t="s">
        <v>147</v>
      </c>
      <c r="C14" s="37" t="s">
        <v>148</v>
      </c>
      <c r="D14" s="37"/>
      <c r="E14" s="37"/>
    </row>
    <row r="15" spans="1:6" ht="16.5" x14ac:dyDescent="0.3">
      <c r="A15" s="37">
        <f t="shared" si="1"/>
        <v>11</v>
      </c>
      <c r="B15" s="37" t="s">
        <v>149</v>
      </c>
      <c r="C15" s="37" t="s">
        <v>150</v>
      </c>
      <c r="D15" s="37"/>
      <c r="E15" s="37"/>
    </row>
    <row r="16" spans="1:6" ht="16.5" x14ac:dyDescent="0.3">
      <c r="A16" s="37">
        <f t="shared" si="1"/>
        <v>12</v>
      </c>
      <c r="B16" s="37" t="s">
        <v>151</v>
      </c>
      <c r="C16" s="37" t="s">
        <v>152</v>
      </c>
      <c r="D16" s="37"/>
      <c r="E16" s="37"/>
    </row>
    <row r="17" spans="1:6" ht="16.5" x14ac:dyDescent="0.3">
      <c r="A17" s="37">
        <f t="shared" si="1"/>
        <v>13</v>
      </c>
      <c r="B17" s="37" t="s">
        <v>153</v>
      </c>
      <c r="C17" s="37" t="s">
        <v>154</v>
      </c>
      <c r="D17" s="37"/>
      <c r="E17" s="37"/>
    </row>
    <row r="18" spans="1:6" ht="16.5" x14ac:dyDescent="0.3">
      <c r="A18" s="37">
        <f t="shared" si="1"/>
        <v>14</v>
      </c>
      <c r="B18" s="37" t="s">
        <v>41</v>
      </c>
      <c r="C18" s="37" t="s">
        <v>155</v>
      </c>
      <c r="D18" s="37"/>
      <c r="E18" s="37"/>
    </row>
    <row r="19" spans="1:6" ht="16.5" x14ac:dyDescent="0.3">
      <c r="A19" s="37">
        <f t="shared" si="1"/>
        <v>15</v>
      </c>
      <c r="B19" s="37" t="s">
        <v>156</v>
      </c>
      <c r="C19" s="37" t="s">
        <v>157</v>
      </c>
      <c r="D19" s="37"/>
      <c r="E19" s="37"/>
    </row>
    <row r="20" spans="1:6" ht="16.5" x14ac:dyDescent="0.3">
      <c r="A20" s="37">
        <f t="shared" si="1"/>
        <v>16</v>
      </c>
      <c r="B20" s="37" t="s">
        <v>158</v>
      </c>
      <c r="C20" s="37" t="s">
        <v>159</v>
      </c>
      <c r="D20" s="37"/>
      <c r="E20" s="37"/>
    </row>
    <row r="21" spans="1:6" ht="16.5" x14ac:dyDescent="0.3">
      <c r="A21" s="37">
        <f t="shared" si="1"/>
        <v>17</v>
      </c>
      <c r="B21" s="37" t="s">
        <v>160</v>
      </c>
      <c r="C21" s="37" t="s">
        <v>161</v>
      </c>
      <c r="D21" s="37"/>
      <c r="E21" s="37"/>
    </row>
    <row r="22" spans="1:6" ht="16.5" x14ac:dyDescent="0.3">
      <c r="A22" s="37">
        <f t="shared" si="1"/>
        <v>18</v>
      </c>
      <c r="B22" s="37" t="s">
        <v>43</v>
      </c>
      <c r="C22" s="37" t="s">
        <v>162</v>
      </c>
      <c r="D22" s="37"/>
      <c r="E22" s="37"/>
    </row>
    <row r="23" spans="1:6" ht="16.5" x14ac:dyDescent="0.3">
      <c r="A23" s="37">
        <f t="shared" si="1"/>
        <v>19</v>
      </c>
      <c r="B23" s="37" t="s">
        <v>163</v>
      </c>
      <c r="C23" s="37" t="s">
        <v>164</v>
      </c>
      <c r="D23" s="37"/>
      <c r="E23" s="37"/>
    </row>
    <row r="24" spans="1:6" ht="16.5" x14ac:dyDescent="0.3">
      <c r="A24" s="37">
        <f t="shared" si="1"/>
        <v>20</v>
      </c>
      <c r="B24" s="37" t="s">
        <v>165</v>
      </c>
      <c r="C24" s="37" t="s">
        <v>166</v>
      </c>
      <c r="D24" s="37"/>
      <c r="E24" s="37"/>
    </row>
    <row r="25" spans="1:6" ht="16.5" x14ac:dyDescent="0.3">
      <c r="A25" s="37">
        <f t="shared" si="1"/>
        <v>21</v>
      </c>
      <c r="B25" s="37" t="s">
        <v>167</v>
      </c>
      <c r="C25" s="37" t="s">
        <v>168</v>
      </c>
      <c r="D25" s="37"/>
      <c r="E25" s="37"/>
    </row>
    <row r="26" spans="1:6" ht="16.5" x14ac:dyDescent="0.3">
      <c r="A26" s="37">
        <f t="shared" si="1"/>
        <v>22</v>
      </c>
      <c r="B26" s="37" t="s">
        <v>169</v>
      </c>
      <c r="C26" s="37" t="s">
        <v>170</v>
      </c>
      <c r="D26" s="37"/>
      <c r="E26" s="37"/>
    </row>
    <row r="27" spans="1:6" ht="16.5" x14ac:dyDescent="0.3">
      <c r="A27" s="37">
        <f t="shared" si="1"/>
        <v>23</v>
      </c>
      <c r="B27" s="37" t="s">
        <v>171</v>
      </c>
      <c r="C27" s="37" t="s">
        <v>172</v>
      </c>
      <c r="D27" s="37"/>
      <c r="E27" s="37"/>
    </row>
    <row r="28" spans="1:6" ht="16.5" x14ac:dyDescent="0.3">
      <c r="A28" s="37">
        <f t="shared" si="1"/>
        <v>24</v>
      </c>
      <c r="B28" s="37" t="s">
        <v>173</v>
      </c>
      <c r="C28" s="37" t="s">
        <v>40</v>
      </c>
      <c r="D28" s="37"/>
      <c r="E28" s="37"/>
    </row>
    <row r="29" spans="1:6" ht="16.5" x14ac:dyDescent="0.3">
      <c r="A29" s="37">
        <f t="shared" si="1"/>
        <v>25</v>
      </c>
      <c r="B29" s="37" t="s">
        <v>174</v>
      </c>
      <c r="C29" s="37" t="s">
        <v>175</v>
      </c>
      <c r="D29" s="37"/>
      <c r="E29" s="37"/>
    </row>
    <row r="30" spans="1:6" ht="16.5" x14ac:dyDescent="0.3">
      <c r="A30" s="37">
        <f t="shared" si="1"/>
        <v>26</v>
      </c>
      <c r="B30" s="37" t="s">
        <v>176</v>
      </c>
      <c r="C30" s="37" t="s">
        <v>177</v>
      </c>
      <c r="D30" s="37"/>
      <c r="E30" s="37"/>
    </row>
    <row r="31" spans="1:6" ht="16.5" x14ac:dyDescent="0.3">
      <c r="A31" s="37">
        <f t="shared" si="1"/>
        <v>27</v>
      </c>
      <c r="B31" s="37" t="s">
        <v>42</v>
      </c>
      <c r="C31" s="37" t="s">
        <v>178</v>
      </c>
      <c r="D31" s="37"/>
      <c r="E31" s="37"/>
    </row>
    <row r="32" spans="1:6" ht="16.5" x14ac:dyDescent="0.3">
      <c r="A32" s="37">
        <f t="shared" si="1"/>
        <v>28</v>
      </c>
      <c r="B32" s="37" t="s">
        <v>179</v>
      </c>
      <c r="C32" s="37" t="s">
        <v>180</v>
      </c>
      <c r="D32" s="37"/>
      <c r="E32" s="37"/>
    </row>
    <row r="33" spans="1:5" ht="16.5" x14ac:dyDescent="0.3">
      <c r="A33" s="37">
        <f t="shared" si="1"/>
        <v>29</v>
      </c>
      <c r="B33" s="37" t="s">
        <v>181</v>
      </c>
      <c r="C33" s="37" t="s">
        <v>29</v>
      </c>
      <c r="D33" s="37"/>
      <c r="E33" s="37"/>
    </row>
    <row r="34" spans="1:5" ht="16.5" x14ac:dyDescent="0.3">
      <c r="A34" s="37">
        <f t="shared" si="1"/>
        <v>30</v>
      </c>
      <c r="B34" s="37" t="s">
        <v>182</v>
      </c>
      <c r="C34" s="37" t="s">
        <v>183</v>
      </c>
      <c r="D34" s="37"/>
      <c r="E34" s="37"/>
    </row>
    <row r="35" spans="1:5" ht="16.5" x14ac:dyDescent="0.3">
      <c r="A35" s="37">
        <f t="shared" si="1"/>
        <v>31</v>
      </c>
      <c r="B35" s="37" t="s">
        <v>44</v>
      </c>
      <c r="C35" s="37" t="s">
        <v>184</v>
      </c>
      <c r="D35" s="37"/>
      <c r="E35" s="37"/>
    </row>
    <row r="36" spans="1:5" ht="16.5" x14ac:dyDescent="0.3">
      <c r="A36" s="37">
        <f t="shared" si="1"/>
        <v>32</v>
      </c>
      <c r="B36" s="37" t="s">
        <v>185</v>
      </c>
      <c r="C36" s="37" t="s">
        <v>186</v>
      </c>
      <c r="D36" s="37"/>
      <c r="E36" s="37"/>
    </row>
    <row r="37" spans="1:5" ht="16.5" x14ac:dyDescent="0.3">
      <c r="A37" s="37">
        <f t="shared" si="1"/>
        <v>33</v>
      </c>
      <c r="B37" s="37" t="s">
        <v>187</v>
      </c>
      <c r="C37" s="37" t="s">
        <v>188</v>
      </c>
      <c r="D37" s="37"/>
      <c r="E37" s="37"/>
    </row>
    <row r="38" spans="1:5" ht="16.5" x14ac:dyDescent="0.3">
      <c r="A38" s="37">
        <f t="shared" si="1"/>
        <v>34</v>
      </c>
      <c r="B38" s="37" t="s">
        <v>47</v>
      </c>
      <c r="C38" s="37" t="s">
        <v>189</v>
      </c>
      <c r="D38" s="37"/>
      <c r="E38" s="37"/>
    </row>
    <row r="39" spans="1:5" ht="16.5" x14ac:dyDescent="0.3">
      <c r="A39" s="37">
        <f t="shared" si="1"/>
        <v>35</v>
      </c>
      <c r="B39" s="37" t="s">
        <v>190</v>
      </c>
      <c r="C39" s="37" t="s">
        <v>191</v>
      </c>
      <c r="D39" s="37"/>
      <c r="E39" s="37"/>
    </row>
    <row r="40" spans="1:5" ht="16.5" x14ac:dyDescent="0.3">
      <c r="A40" s="37">
        <f t="shared" si="1"/>
        <v>36</v>
      </c>
      <c r="B40" s="37" t="s">
        <v>45</v>
      </c>
      <c r="C40" s="37" t="s">
        <v>192</v>
      </c>
      <c r="D40" s="37"/>
      <c r="E40" s="37"/>
    </row>
    <row r="41" spans="1:5" ht="16.5" x14ac:dyDescent="0.3">
      <c r="A41" s="37">
        <f t="shared" si="1"/>
        <v>37</v>
      </c>
      <c r="B41" s="37" t="s">
        <v>193</v>
      </c>
      <c r="C41" s="37" t="s">
        <v>194</v>
      </c>
      <c r="D41" s="37"/>
      <c r="E41" s="37"/>
    </row>
    <row r="42" spans="1:5" ht="16.5" x14ac:dyDescent="0.3">
      <c r="A42" s="37">
        <f t="shared" si="1"/>
        <v>38</v>
      </c>
      <c r="B42" s="37" t="s">
        <v>195</v>
      </c>
      <c r="C42" s="37" t="s">
        <v>196</v>
      </c>
      <c r="D42" s="37"/>
      <c r="E42" s="37"/>
    </row>
    <row r="43" spans="1:5" ht="16.5" x14ac:dyDescent="0.3">
      <c r="A43" s="37">
        <f t="shared" si="1"/>
        <v>39</v>
      </c>
      <c r="B43" s="37" t="s">
        <v>195</v>
      </c>
      <c r="C43" s="37" t="s">
        <v>48</v>
      </c>
      <c r="D43" s="37"/>
      <c r="E43" s="37"/>
    </row>
    <row r="44" spans="1:5" ht="16.5" x14ac:dyDescent="0.3">
      <c r="A44" s="37">
        <f t="shared" si="1"/>
        <v>40</v>
      </c>
      <c r="B44" s="37" t="s">
        <v>197</v>
      </c>
      <c r="C44" s="37" t="s">
        <v>198</v>
      </c>
      <c r="D44" s="37"/>
      <c r="E44" s="37"/>
    </row>
    <row r="45" spans="1:5" ht="16.5" x14ac:dyDescent="0.3">
      <c r="A45" s="37">
        <f t="shared" si="1"/>
        <v>41</v>
      </c>
      <c r="B45" s="37" t="s">
        <v>199</v>
      </c>
      <c r="C45" s="37" t="s">
        <v>49</v>
      </c>
      <c r="D45" s="37"/>
      <c r="E45" s="37"/>
    </row>
    <row r="46" spans="1:5" ht="16.5" x14ac:dyDescent="0.3">
      <c r="A46" s="37">
        <f t="shared" si="1"/>
        <v>42</v>
      </c>
      <c r="B46" s="37" t="s">
        <v>200</v>
      </c>
      <c r="C46" s="37" t="s">
        <v>201</v>
      </c>
      <c r="D46" s="37"/>
      <c r="E46" s="37"/>
    </row>
    <row r="47" spans="1:5" ht="16.5" x14ac:dyDescent="0.3">
      <c r="A47" s="37">
        <f t="shared" si="1"/>
        <v>43</v>
      </c>
      <c r="B47" s="37" t="s">
        <v>202</v>
      </c>
      <c r="C47" s="37" t="s">
        <v>203</v>
      </c>
      <c r="D47" s="37"/>
      <c r="E47" s="37"/>
    </row>
    <row r="48" spans="1:5" ht="16.5" x14ac:dyDescent="0.3">
      <c r="A48" s="37">
        <f t="shared" si="1"/>
        <v>44</v>
      </c>
      <c r="B48" s="37" t="s">
        <v>204</v>
      </c>
      <c r="C48" s="37" t="s">
        <v>205</v>
      </c>
      <c r="D48" s="37"/>
      <c r="E48" s="37"/>
    </row>
    <row r="49" spans="1:5" ht="16.5" x14ac:dyDescent="0.3">
      <c r="A49" s="37">
        <f t="shared" si="1"/>
        <v>45</v>
      </c>
      <c r="B49" s="37" t="s">
        <v>206</v>
      </c>
      <c r="C49" s="37" t="s">
        <v>207</v>
      </c>
      <c r="D49" s="37"/>
      <c r="E49" s="37"/>
    </row>
    <row r="50" spans="1:5" ht="16.5" x14ac:dyDescent="0.3">
      <c r="A50" s="37">
        <f t="shared" si="1"/>
        <v>46</v>
      </c>
      <c r="B50" s="37" t="s">
        <v>208</v>
      </c>
      <c r="C50" s="37" t="s">
        <v>41</v>
      </c>
      <c r="D50" s="37"/>
      <c r="E50" s="37"/>
    </row>
    <row r="51" spans="1:5" ht="16.5" x14ac:dyDescent="0.3">
      <c r="A51" s="37">
        <f t="shared" si="1"/>
        <v>47</v>
      </c>
      <c r="B51" s="37" t="s">
        <v>208</v>
      </c>
      <c r="C51" s="37" t="s">
        <v>39</v>
      </c>
      <c r="D51" s="37"/>
      <c r="E51" s="37"/>
    </row>
    <row r="52" spans="1:5" ht="16.5" x14ac:dyDescent="0.3">
      <c r="A52" s="37">
        <f t="shared" si="1"/>
        <v>48</v>
      </c>
      <c r="B52" s="37" t="s">
        <v>46</v>
      </c>
      <c r="C52" s="37" t="s">
        <v>209</v>
      </c>
      <c r="D52" s="37"/>
      <c r="E52" s="37"/>
    </row>
    <row r="53" spans="1:5" ht="16.5" x14ac:dyDescent="0.3">
      <c r="A53" s="37">
        <f t="shared" si="1"/>
        <v>49</v>
      </c>
      <c r="B53" s="37" t="s">
        <v>210</v>
      </c>
      <c r="C53" s="37" t="s">
        <v>211</v>
      </c>
      <c r="D53" s="37"/>
      <c r="E53" s="37"/>
    </row>
    <row r="54" spans="1:5" ht="16.5" x14ac:dyDescent="0.3">
      <c r="A54" s="37">
        <f t="shared" si="1"/>
        <v>50</v>
      </c>
      <c r="B54" s="37" t="s">
        <v>212</v>
      </c>
      <c r="C54" s="37" t="s">
        <v>213</v>
      </c>
      <c r="D54" s="37"/>
      <c r="E54" s="37"/>
    </row>
    <row r="55" spans="1:5" ht="16.5" x14ac:dyDescent="0.3">
      <c r="A55" s="37">
        <f t="shared" si="1"/>
        <v>51</v>
      </c>
      <c r="B55" s="37" t="s">
        <v>214</v>
      </c>
      <c r="C55" s="37" t="s">
        <v>215</v>
      </c>
      <c r="D55" s="37"/>
      <c r="E55" s="37"/>
    </row>
    <row r="56" spans="1:5" ht="16.5" x14ac:dyDescent="0.3">
      <c r="A56" s="37">
        <f t="shared" si="1"/>
        <v>52</v>
      </c>
      <c r="B56" s="37" t="s">
        <v>216</v>
      </c>
      <c r="C56" s="37" t="s">
        <v>198</v>
      </c>
      <c r="D56" s="37"/>
      <c r="E56" s="37"/>
    </row>
    <row r="57" spans="1:5" ht="16.5" x14ac:dyDescent="0.3">
      <c r="A57" s="37">
        <f t="shared" si="1"/>
        <v>53</v>
      </c>
      <c r="B57" s="37" t="s">
        <v>217</v>
      </c>
      <c r="C57" s="37" t="s">
        <v>218</v>
      </c>
      <c r="D57" s="37"/>
      <c r="E57" s="37"/>
    </row>
    <row r="58" spans="1:5" ht="16.5" x14ac:dyDescent="0.3">
      <c r="A58" s="37">
        <f t="shared" si="1"/>
        <v>54</v>
      </c>
      <c r="B58" s="37" t="s">
        <v>219</v>
      </c>
      <c r="C58" s="37" t="s">
        <v>220</v>
      </c>
      <c r="D58" s="37"/>
      <c r="E58" s="37"/>
    </row>
    <row r="59" spans="1:5" ht="16.5" x14ac:dyDescent="0.3">
      <c r="A59" s="37">
        <f t="shared" si="1"/>
        <v>55</v>
      </c>
      <c r="B59" s="37" t="s">
        <v>221</v>
      </c>
      <c r="C59" s="37" t="s">
        <v>50</v>
      </c>
      <c r="D59" s="37"/>
      <c r="E59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41" t="s">
        <v>25</v>
      </c>
      <c r="B2" s="141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217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IFERROR(VLOOKUP(B6,BD!B5:E59,2,FALSE),"aucune valeur trouvée pour cette donnée")</f>
        <v>BAKWA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IFERROR(VLOOKUP(B6,BD!B5:E59,3,FALSE),"aucune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IFERROR(VLOOKUP(B6,BD!B5:E59,4,FALSE),"aucune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>
        <v>0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34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BD!$B$5:$B$59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Zeros="0" view="pageLayout" zoomScaleNormal="100" workbookViewId="0">
      <selection activeCell="A6" sqref="A6:F6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43" t="s">
        <v>26</v>
      </c>
      <c r="B3" s="144"/>
      <c r="C3" s="144"/>
      <c r="D3" s="144"/>
      <c r="E3" s="144"/>
      <c r="F3" s="144"/>
      <c r="G3" s="66"/>
      <c r="H3" s="67">
        <f>SUMIF(Tableau1[SEXE],"m",Tableau1[%])</f>
        <v>27.8</v>
      </c>
      <c r="I3" s="67">
        <f>SUMIF(Tableau1[SEXE],"f",Tableau1[%])</f>
        <v>0</v>
      </c>
      <c r="J3" s="67"/>
      <c r="K3" s="68"/>
    </row>
    <row r="4" spans="1:11" x14ac:dyDescent="0.25">
      <c r="A4" s="12" t="s">
        <v>19</v>
      </c>
      <c r="B4" s="12" t="s">
        <v>15</v>
      </c>
      <c r="C4" s="12" t="s">
        <v>16</v>
      </c>
      <c r="D4" s="12" t="s">
        <v>17</v>
      </c>
      <c r="E4" s="41" t="s">
        <v>21</v>
      </c>
      <c r="F4" s="69" t="s">
        <v>20</v>
      </c>
      <c r="G4" s="70"/>
      <c r="H4" s="142" t="s">
        <v>81</v>
      </c>
      <c r="I4" s="142"/>
      <c r="J4" s="142"/>
      <c r="K4" s="69"/>
    </row>
    <row r="5" spans="1:11" ht="21" x14ac:dyDescent="0.35">
      <c r="A5" s="12" t="s">
        <v>36</v>
      </c>
      <c r="B5" s="12" t="s">
        <v>37</v>
      </c>
      <c r="C5" s="12" t="s">
        <v>38</v>
      </c>
      <c r="D5" s="12" t="s">
        <v>22</v>
      </c>
      <c r="E5" s="41">
        <v>27.8</v>
      </c>
      <c r="F5" s="71">
        <f>RANK(Tableau1[[#This Row],[%]],Tableau1[%],0)</f>
        <v>1</v>
      </c>
      <c r="G5" s="70"/>
      <c r="H5" s="66" t="s">
        <v>82</v>
      </c>
      <c r="I5" s="72">
        <f>COUNTIFS(Tableau1[SEXE],"M",Tableau1[%],"&gt;=50")</f>
        <v>0</v>
      </c>
      <c r="J5" s="68"/>
      <c r="K5" s="69"/>
    </row>
    <row r="6" spans="1:11" ht="15.75" customHeight="1" x14ac:dyDescent="0.35">
      <c r="A6" s="20"/>
      <c r="B6" s="20"/>
      <c r="C6" s="20"/>
      <c r="D6" s="20"/>
      <c r="E6" s="14"/>
      <c r="F6" s="20"/>
      <c r="G6" s="70"/>
      <c r="H6" s="73" t="s">
        <v>83</v>
      </c>
      <c r="I6" s="74">
        <f>COUNTIFS(Tableau1[SEXE],"F",Tableau1[%],"&gt;=50")</f>
        <v>0</v>
      </c>
      <c r="J6" s="75"/>
      <c r="K6" s="69"/>
    </row>
    <row r="7" spans="1:11" ht="17.25" customHeight="1" x14ac:dyDescent="0.25">
      <c r="A7" s="20"/>
      <c r="B7" s="20"/>
      <c r="C7" s="20"/>
      <c r="D7" s="20"/>
      <c r="E7" s="14"/>
      <c r="F7" s="20"/>
      <c r="G7" s="70"/>
      <c r="H7" s="76"/>
      <c r="I7" s="76"/>
      <c r="J7" s="76"/>
      <c r="K7" s="69"/>
    </row>
    <row r="8" spans="1:11" ht="16.5" customHeight="1" x14ac:dyDescent="0.25">
      <c r="A8" s="12"/>
      <c r="B8" s="12"/>
      <c r="C8" s="12"/>
      <c r="D8" s="12"/>
      <c r="E8" s="41"/>
      <c r="F8" s="12"/>
      <c r="G8" s="70"/>
      <c r="H8" s="142" t="s">
        <v>84</v>
      </c>
      <c r="I8" s="142"/>
      <c r="J8" s="142"/>
      <c r="K8" s="69"/>
    </row>
    <row r="9" spans="1:11" ht="16.5" customHeight="1" x14ac:dyDescent="0.35">
      <c r="A9" s="12"/>
      <c r="B9" s="12"/>
      <c r="D9" s="12"/>
      <c r="E9" s="41"/>
      <c r="F9" s="12"/>
      <c r="G9" s="70"/>
      <c r="H9" s="66" t="s">
        <v>82</v>
      </c>
      <c r="I9" s="72">
        <f>COUNTIFS(Tableau1[SEXE],"M",Tableau1[%],"&lt;=49,9")</f>
        <v>1</v>
      </c>
      <c r="J9" s="68"/>
      <c r="K9" s="69"/>
    </row>
    <row r="10" spans="1:11" ht="16.5" customHeight="1" x14ac:dyDescent="0.35">
      <c r="A10" s="12"/>
      <c r="B10" s="12"/>
      <c r="C10" s="12"/>
      <c r="D10" s="12"/>
      <c r="E10" s="41"/>
      <c r="F10" s="12"/>
      <c r="G10" s="70"/>
      <c r="H10" s="73" t="s">
        <v>83</v>
      </c>
      <c r="I10" s="74">
        <f>COUNTIFS(Tableau1[SEXE],"F",Tableau1[%],"&lt;=49,9")</f>
        <v>0</v>
      </c>
      <c r="J10" s="75"/>
      <c r="K10" s="69"/>
    </row>
    <row r="11" spans="1:11" ht="16.5" customHeight="1" x14ac:dyDescent="0.25">
      <c r="A11" s="12"/>
      <c r="B11" s="12"/>
      <c r="C11" s="12"/>
      <c r="D11" s="12"/>
      <c r="E11" s="41"/>
      <c r="F11" s="12"/>
      <c r="G11" s="70"/>
      <c r="H11" s="76"/>
      <c r="I11" s="76"/>
      <c r="J11" s="76"/>
      <c r="K11" s="69"/>
    </row>
    <row r="12" spans="1:11" ht="16.5" customHeight="1" x14ac:dyDescent="0.25">
      <c r="A12" s="12"/>
      <c r="B12" s="12"/>
      <c r="C12" s="12"/>
      <c r="D12" s="12"/>
      <c r="E12" s="41"/>
      <c r="F12" s="12"/>
      <c r="G12" s="70"/>
      <c r="H12" s="142" t="s">
        <v>85</v>
      </c>
      <c r="I12" s="142"/>
      <c r="J12" s="142"/>
      <c r="K12" s="69"/>
    </row>
    <row r="13" spans="1:11" ht="16.5" customHeight="1" x14ac:dyDescent="0.35">
      <c r="A13" s="12"/>
      <c r="B13" s="12"/>
      <c r="C13" s="12"/>
      <c r="D13" s="12"/>
      <c r="E13" s="41"/>
      <c r="F13" s="12"/>
      <c r="G13" s="70"/>
      <c r="H13" s="66" t="s">
        <v>82</v>
      </c>
      <c r="I13" s="77">
        <f>AVERAGE(H3/(I5+I9))</f>
        <v>27.8</v>
      </c>
      <c r="J13" s="68"/>
      <c r="K13" s="69"/>
    </row>
    <row r="14" spans="1:11" ht="15.75" customHeight="1" x14ac:dyDescent="0.35">
      <c r="A14" s="12"/>
      <c r="B14" s="12"/>
      <c r="C14" s="12"/>
      <c r="D14" s="12"/>
      <c r="E14" s="41"/>
      <c r="F14" s="12"/>
      <c r="G14" s="70"/>
      <c r="H14" s="73" t="s">
        <v>83</v>
      </c>
      <c r="I14" s="74" t="e">
        <f>AVERAGE(I3/(I6+I10))</f>
        <v>#DIV/0!</v>
      </c>
      <c r="J14" s="75"/>
      <c r="K14" s="69"/>
    </row>
    <row r="15" spans="1:11" ht="15.75" customHeight="1" x14ac:dyDescent="0.35">
      <c r="A15" s="12"/>
      <c r="B15" s="12"/>
      <c r="C15" s="12"/>
      <c r="D15" s="12"/>
      <c r="E15" s="41"/>
      <c r="F15" s="12"/>
      <c r="G15" s="70"/>
      <c r="H15" s="76"/>
      <c r="I15" s="78"/>
      <c r="J15" s="76"/>
      <c r="K15" s="69"/>
    </row>
    <row r="16" spans="1:11" ht="15.75" customHeight="1" x14ac:dyDescent="0.25">
      <c r="A16" s="12"/>
      <c r="B16" s="12"/>
      <c r="C16" s="12"/>
      <c r="D16" s="12"/>
      <c r="E16" s="41"/>
      <c r="F16" s="12"/>
      <c r="G16" s="70"/>
      <c r="H16" s="142" t="s">
        <v>86</v>
      </c>
      <c r="I16" s="142"/>
      <c r="J16" s="142"/>
      <c r="K16" s="69"/>
    </row>
    <row r="17" spans="1:11" ht="15.75" customHeight="1" x14ac:dyDescent="0.35">
      <c r="A17" s="12"/>
      <c r="B17" s="12"/>
      <c r="C17" s="12"/>
      <c r="D17" s="12"/>
      <c r="E17" s="41"/>
      <c r="F17" s="12"/>
      <c r="G17" s="70"/>
      <c r="H17" s="79" t="s">
        <v>87</v>
      </c>
      <c r="I17" s="80">
        <f>AVERAGE(Tableau1[%])</f>
        <v>27.8</v>
      </c>
      <c r="J17" s="81"/>
      <c r="K17" s="69"/>
    </row>
    <row r="18" spans="1:11" ht="16.5" customHeight="1" x14ac:dyDescent="0.25">
      <c r="A18" s="12"/>
      <c r="B18" s="12"/>
      <c r="C18" s="12"/>
      <c r="D18" s="12"/>
      <c r="E18" s="41"/>
      <c r="F18" s="12"/>
      <c r="G18" s="73"/>
      <c r="H18" s="82"/>
      <c r="I18" s="82"/>
      <c r="J18" s="82"/>
      <c r="K18" s="75"/>
    </row>
    <row r="19" spans="1:11" ht="16.5" customHeight="1" x14ac:dyDescent="0.25">
      <c r="A19" s="12"/>
      <c r="B19" s="12"/>
      <c r="C19" s="12"/>
      <c r="D19" s="12"/>
      <c r="E19" s="41"/>
      <c r="F19" s="12"/>
      <c r="G19" s="83"/>
    </row>
    <row r="20" spans="1:11" ht="16.5" customHeight="1" x14ac:dyDescent="0.25">
      <c r="A20" s="12"/>
      <c r="B20" s="12"/>
      <c r="C20" s="12"/>
      <c r="D20" s="12"/>
      <c r="E20" s="41"/>
      <c r="F20" s="12"/>
      <c r="G20" s="76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32"/>
      <c r="B541" s="32"/>
      <c r="C541" s="32"/>
      <c r="D541" s="32"/>
      <c r="E541" s="42"/>
      <c r="F541" s="32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33" priority="2" operator="lessThan">
      <formula>59</formula>
    </cfRule>
  </conditionalFormatting>
  <conditionalFormatting sqref="E8:E1048576">
    <cfRule type="cellIs" dxfId="32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Z12"/>
  <sheetViews>
    <sheetView workbookViewId="0">
      <selection activeCell="X4" sqref="X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1" width="4.140625" style="12" customWidth="1"/>
    <col min="22" max="22" width="5" style="12" customWidth="1"/>
    <col min="23" max="23" width="5.140625" style="12" customWidth="1"/>
    <col min="24" max="24" width="7.42578125" style="12" customWidth="1"/>
    <col min="25" max="26" width="5.85546875" style="12" customWidth="1"/>
    <col min="27" max="28" width="5.28515625" style="12" customWidth="1"/>
    <col min="29" max="29" width="5.5703125" style="12" customWidth="1"/>
    <col min="30" max="30" width="6" style="12" customWidth="1"/>
    <col min="31" max="33" width="5.85546875" style="12" customWidth="1"/>
    <col min="34" max="34" width="6.28515625" style="12" customWidth="1"/>
    <col min="35" max="16384" width="11.42578125" style="12"/>
  </cols>
  <sheetData>
    <row r="1" spans="1:26" ht="31.5" x14ac:dyDescent="0.5">
      <c r="A1" s="145" t="s">
        <v>124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</row>
    <row r="2" spans="1:26" ht="115.5" x14ac:dyDescent="0.35">
      <c r="A2" s="84"/>
      <c r="B2" s="84"/>
      <c r="C2" s="85" t="s">
        <v>89</v>
      </c>
      <c r="D2" s="85" t="s">
        <v>90</v>
      </c>
      <c r="E2" s="85" t="s">
        <v>91</v>
      </c>
      <c r="F2" s="85" t="s">
        <v>71</v>
      </c>
      <c r="G2" s="85" t="s">
        <v>59</v>
      </c>
      <c r="H2" s="85" t="s">
        <v>118</v>
      </c>
      <c r="I2" s="85" t="s">
        <v>62</v>
      </c>
      <c r="J2" s="85" t="s">
        <v>72</v>
      </c>
      <c r="K2" s="85" t="s">
        <v>73</v>
      </c>
      <c r="L2" s="85" t="s">
        <v>74</v>
      </c>
      <c r="M2" s="85" t="s">
        <v>119</v>
      </c>
      <c r="N2" s="86" t="s">
        <v>120</v>
      </c>
      <c r="O2" s="86" t="s">
        <v>65</v>
      </c>
      <c r="P2" s="86" t="s">
        <v>121</v>
      </c>
      <c r="Q2" s="86" t="s">
        <v>114</v>
      </c>
      <c r="R2" s="86" t="s">
        <v>122</v>
      </c>
      <c r="S2" s="86" t="s">
        <v>79</v>
      </c>
      <c r="T2" s="86" t="s">
        <v>92</v>
      </c>
      <c r="U2" s="86" t="s">
        <v>80</v>
      </c>
      <c r="V2" s="86" t="s">
        <v>63</v>
      </c>
      <c r="W2" s="86" t="s">
        <v>69</v>
      </c>
      <c r="X2" s="87" t="s">
        <v>21</v>
      </c>
      <c r="Z2" s="88"/>
    </row>
    <row r="3" spans="1:26" ht="17.25" thickBot="1" x14ac:dyDescent="0.35">
      <c r="A3" s="89" t="s">
        <v>19</v>
      </c>
      <c r="B3" s="90" t="s">
        <v>18</v>
      </c>
      <c r="C3" s="91" t="s">
        <v>93</v>
      </c>
      <c r="D3" s="92" t="s">
        <v>94</v>
      </c>
      <c r="E3" s="92" t="s">
        <v>95</v>
      </c>
      <c r="F3" s="92" t="s">
        <v>96</v>
      </c>
      <c r="G3" s="92" t="s">
        <v>97</v>
      </c>
      <c r="H3" s="92" t="s">
        <v>98</v>
      </c>
      <c r="I3" s="92" t="s">
        <v>99</v>
      </c>
      <c r="J3" s="92" t="s">
        <v>100</v>
      </c>
      <c r="K3" s="92" t="s">
        <v>101</v>
      </c>
      <c r="L3" s="92" t="s">
        <v>117</v>
      </c>
      <c r="M3" s="92" t="s">
        <v>116</v>
      </c>
      <c r="N3" s="92" t="s">
        <v>102</v>
      </c>
      <c r="O3" s="92" t="s">
        <v>103</v>
      </c>
      <c r="P3" s="92" t="s">
        <v>104</v>
      </c>
      <c r="Q3" s="92" t="s">
        <v>105</v>
      </c>
      <c r="R3" s="92" t="s">
        <v>106</v>
      </c>
      <c r="S3" s="92" t="s">
        <v>107</v>
      </c>
      <c r="T3" s="92" t="s">
        <v>108</v>
      </c>
      <c r="U3" s="92" t="s">
        <v>109</v>
      </c>
      <c r="V3" s="92" t="s">
        <v>110</v>
      </c>
      <c r="W3" s="92" t="s">
        <v>111</v>
      </c>
      <c r="X3" s="92" t="s">
        <v>113</v>
      </c>
    </row>
    <row r="4" spans="1:26" ht="17.25" thickBot="1" x14ac:dyDescent="0.35">
      <c r="A4" s="97" t="s">
        <v>221</v>
      </c>
      <c r="B4" s="97" t="s">
        <v>50</v>
      </c>
      <c r="C4" s="94"/>
      <c r="D4" s="95"/>
      <c r="E4" s="95"/>
      <c r="F4" s="95"/>
      <c r="G4" s="95"/>
      <c r="H4" s="95"/>
      <c r="I4" s="95"/>
      <c r="J4" s="95"/>
      <c r="K4" s="95"/>
      <c r="L4" s="98"/>
      <c r="M4" s="98"/>
      <c r="N4" s="95"/>
      <c r="O4" s="95"/>
      <c r="P4" s="95"/>
      <c r="Q4" s="95"/>
      <c r="R4" s="95"/>
      <c r="S4" s="95"/>
      <c r="T4" s="95"/>
      <c r="U4" s="95"/>
      <c r="V4" s="95"/>
      <c r="W4" s="95">
        <v>100</v>
      </c>
      <c r="X4" s="95">
        <v>13.9</v>
      </c>
    </row>
    <row r="5" spans="1:26" ht="17.25" thickBot="1" x14ac:dyDescent="0.35">
      <c r="A5" s="97" t="s">
        <v>30</v>
      </c>
      <c r="B5" s="97" t="s">
        <v>31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>
        <v>100</v>
      </c>
      <c r="W5" s="95">
        <v>100</v>
      </c>
      <c r="X5" s="95">
        <v>27.8</v>
      </c>
    </row>
    <row r="6" spans="1:26" ht="17.25" thickBot="1" x14ac:dyDescent="0.35">
      <c r="A6" s="97" t="s">
        <v>30</v>
      </c>
      <c r="B6" s="97" t="s">
        <v>31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>
        <v>0</v>
      </c>
    </row>
    <row r="7" spans="1:26" ht="17.25" thickBot="1" x14ac:dyDescent="0.35">
      <c r="A7" s="97" t="s">
        <v>27</v>
      </c>
      <c r="B7" s="97" t="s">
        <v>28</v>
      </c>
      <c r="C7" s="94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>
        <v>50</v>
      </c>
      <c r="X7" s="95">
        <v>6.9</v>
      </c>
    </row>
    <row r="8" spans="1:26" ht="17.25" thickBot="1" x14ac:dyDescent="0.35">
      <c r="A8" s="97" t="s">
        <v>27</v>
      </c>
      <c r="B8" s="97" t="s">
        <v>28</v>
      </c>
      <c r="C8" s="94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>
        <v>27.8</v>
      </c>
    </row>
    <row r="9" spans="1:26" ht="17.25" thickBot="1" x14ac:dyDescent="0.35">
      <c r="A9" s="97" t="s">
        <v>27</v>
      </c>
      <c r="B9" s="97" t="s">
        <v>28</v>
      </c>
      <c r="C9" s="94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>
        <v>10</v>
      </c>
      <c r="X9" s="95">
        <v>2.8</v>
      </c>
    </row>
    <row r="10" spans="1:26" ht="17.25" thickBot="1" x14ac:dyDescent="0.35">
      <c r="A10" s="93" t="s">
        <v>34</v>
      </c>
      <c r="B10" s="93" t="s">
        <v>35</v>
      </c>
      <c r="C10" s="94">
        <v>20</v>
      </c>
      <c r="D10" s="95">
        <v>6</v>
      </c>
      <c r="E10" s="95">
        <v>15</v>
      </c>
      <c r="F10" s="95">
        <v>8</v>
      </c>
      <c r="G10" s="95">
        <v>5</v>
      </c>
      <c r="H10" s="95">
        <v>8</v>
      </c>
      <c r="I10" s="95">
        <v>9</v>
      </c>
      <c r="J10" s="95">
        <v>10</v>
      </c>
      <c r="K10" s="95">
        <v>9</v>
      </c>
      <c r="L10" s="95"/>
      <c r="M10" s="95"/>
      <c r="N10" s="95">
        <v>9</v>
      </c>
      <c r="O10" s="95">
        <v>15</v>
      </c>
      <c r="P10" s="95">
        <v>60</v>
      </c>
      <c r="Q10" s="95">
        <v>15</v>
      </c>
      <c r="R10" s="95">
        <v>15</v>
      </c>
      <c r="S10" s="95">
        <v>10</v>
      </c>
      <c r="T10" s="95">
        <v>15</v>
      </c>
      <c r="U10" s="95">
        <v>18</v>
      </c>
      <c r="V10" s="95">
        <v>15</v>
      </c>
      <c r="W10" s="95">
        <v>15</v>
      </c>
      <c r="X10" s="95">
        <v>73</v>
      </c>
    </row>
    <row r="11" spans="1:26" ht="17.25" thickBot="1" x14ac:dyDescent="0.35">
      <c r="A11" s="93" t="s">
        <v>32</v>
      </c>
      <c r="B11" s="93" t="s">
        <v>33</v>
      </c>
      <c r="C11" s="94">
        <v>20</v>
      </c>
      <c r="D11" s="95">
        <v>7</v>
      </c>
      <c r="E11" s="95">
        <v>15</v>
      </c>
      <c r="F11" s="95">
        <v>8</v>
      </c>
      <c r="G11" s="95">
        <v>7</v>
      </c>
      <c r="H11" s="95">
        <v>7</v>
      </c>
      <c r="I11" s="95">
        <v>10</v>
      </c>
      <c r="J11" s="95">
        <v>9</v>
      </c>
      <c r="K11" s="95">
        <v>9</v>
      </c>
      <c r="L11" s="95"/>
      <c r="M11" s="95"/>
      <c r="N11" s="95">
        <v>5</v>
      </c>
      <c r="O11" s="95">
        <v>15</v>
      </c>
      <c r="P11" s="95">
        <v>55</v>
      </c>
      <c r="Q11" s="95">
        <v>15</v>
      </c>
      <c r="R11" s="95">
        <v>15</v>
      </c>
      <c r="S11" s="95">
        <v>9</v>
      </c>
      <c r="T11" s="95">
        <v>10</v>
      </c>
      <c r="U11" s="95">
        <v>10</v>
      </c>
      <c r="V11" s="95">
        <v>20</v>
      </c>
      <c r="W11" s="95">
        <v>10</v>
      </c>
      <c r="X11" s="95">
        <v>69</v>
      </c>
    </row>
    <row r="12" spans="1:26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</row>
  </sheetData>
  <mergeCells count="1">
    <mergeCell ref="A1:W1"/>
  </mergeCells>
  <pageMargins left="0.19" right="7.0000000000000007E-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Z9"/>
  <sheetViews>
    <sheetView workbookViewId="0">
      <selection activeCell="H2" sqref="H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1" width="4.28515625" style="12" customWidth="1"/>
    <col min="22" max="23" width="4.5703125" style="12" customWidth="1"/>
    <col min="24" max="24" width="7.42578125" style="12" customWidth="1"/>
    <col min="25" max="26" width="5.85546875" style="12" customWidth="1"/>
    <col min="27" max="28" width="5.28515625" style="12" customWidth="1"/>
    <col min="29" max="29" width="5.5703125" style="12" customWidth="1"/>
    <col min="30" max="30" width="6" style="12" customWidth="1"/>
    <col min="31" max="33" width="5.85546875" style="12" customWidth="1"/>
    <col min="34" max="34" width="6.28515625" style="12" customWidth="1"/>
    <col min="35" max="16384" width="11.42578125" style="12"/>
  </cols>
  <sheetData>
    <row r="1" spans="1:26" ht="31.5" x14ac:dyDescent="0.5">
      <c r="A1" s="145" t="s">
        <v>125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</row>
    <row r="2" spans="1:26" ht="115.5" x14ac:dyDescent="0.35">
      <c r="A2" s="84"/>
      <c r="B2" s="84"/>
      <c r="C2" s="85" t="s">
        <v>89</v>
      </c>
      <c r="D2" s="85" t="s">
        <v>90</v>
      </c>
      <c r="E2" s="85" t="s">
        <v>91</v>
      </c>
      <c r="F2" s="85" t="s">
        <v>71</v>
      </c>
      <c r="G2" s="85" t="s">
        <v>59</v>
      </c>
      <c r="H2" s="85" t="s">
        <v>118</v>
      </c>
      <c r="I2" s="85" t="s">
        <v>62</v>
      </c>
      <c r="J2" s="85" t="s">
        <v>72</v>
      </c>
      <c r="K2" s="85" t="s">
        <v>73</v>
      </c>
      <c r="L2" s="85" t="s">
        <v>74</v>
      </c>
      <c r="M2" s="85" t="s">
        <v>119</v>
      </c>
      <c r="N2" s="86" t="s">
        <v>120</v>
      </c>
      <c r="O2" s="86" t="s">
        <v>65</v>
      </c>
      <c r="P2" s="86" t="s">
        <v>121</v>
      </c>
      <c r="Q2" s="86" t="s">
        <v>114</v>
      </c>
      <c r="R2" s="86" t="s">
        <v>122</v>
      </c>
      <c r="S2" s="86" t="s">
        <v>79</v>
      </c>
      <c r="T2" s="86" t="s">
        <v>92</v>
      </c>
      <c r="U2" s="86" t="s">
        <v>80</v>
      </c>
      <c r="V2" s="86" t="s">
        <v>63</v>
      </c>
      <c r="W2" s="86" t="s">
        <v>69</v>
      </c>
      <c r="X2" s="87" t="s">
        <v>21</v>
      </c>
      <c r="Z2" s="88"/>
    </row>
    <row r="3" spans="1:26" ht="17.25" thickBot="1" x14ac:dyDescent="0.35">
      <c r="A3" s="89" t="s">
        <v>19</v>
      </c>
      <c r="B3" s="90" t="s">
        <v>18</v>
      </c>
      <c r="C3" s="91" t="s">
        <v>93</v>
      </c>
      <c r="D3" s="92" t="s">
        <v>94</v>
      </c>
      <c r="E3" s="92" t="s">
        <v>95</v>
      </c>
      <c r="F3" s="92" t="s">
        <v>96</v>
      </c>
      <c r="G3" s="92" t="s">
        <v>97</v>
      </c>
      <c r="H3" s="92" t="s">
        <v>98</v>
      </c>
      <c r="I3" s="92" t="s">
        <v>99</v>
      </c>
      <c r="J3" s="92" t="s">
        <v>100</v>
      </c>
      <c r="K3" s="92" t="s">
        <v>101</v>
      </c>
      <c r="L3" s="92" t="s">
        <v>117</v>
      </c>
      <c r="M3" s="92" t="s">
        <v>116</v>
      </c>
      <c r="N3" s="92" t="s">
        <v>102</v>
      </c>
      <c r="O3" s="92" t="s">
        <v>103</v>
      </c>
      <c r="P3" s="92" t="s">
        <v>104</v>
      </c>
      <c r="Q3" s="92" t="s">
        <v>105</v>
      </c>
      <c r="R3" s="92" t="s">
        <v>106</v>
      </c>
      <c r="S3" s="92" t="s">
        <v>107</v>
      </c>
      <c r="T3" s="92" t="s">
        <v>108</v>
      </c>
      <c r="U3" s="92" t="s">
        <v>109</v>
      </c>
      <c r="V3" s="92" t="s">
        <v>110</v>
      </c>
      <c r="W3" s="92" t="s">
        <v>111</v>
      </c>
      <c r="X3" s="92" t="s">
        <v>113</v>
      </c>
    </row>
    <row r="4" spans="1:26" ht="17.25" thickBot="1" x14ac:dyDescent="0.35">
      <c r="A4" s="97" t="s">
        <v>27</v>
      </c>
      <c r="B4" s="97" t="s">
        <v>28</v>
      </c>
      <c r="C4" s="94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>
        <v>50</v>
      </c>
      <c r="X4" s="95">
        <v>6.9</v>
      </c>
    </row>
    <row r="5" spans="1:26" ht="17.25" thickBot="1" x14ac:dyDescent="0.35">
      <c r="A5" s="97" t="s">
        <v>27</v>
      </c>
      <c r="B5" s="97" t="s">
        <v>28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>
        <v>27.8</v>
      </c>
    </row>
    <row r="6" spans="1:26" ht="17.25" thickBot="1" x14ac:dyDescent="0.35">
      <c r="A6" s="97" t="s">
        <v>27</v>
      </c>
      <c r="B6" s="97" t="s">
        <v>28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>
        <v>10</v>
      </c>
      <c r="X6" s="95">
        <v>2.8</v>
      </c>
    </row>
    <row r="7" spans="1:26" ht="17.25" thickBot="1" x14ac:dyDescent="0.35">
      <c r="A7" s="93" t="s">
        <v>34</v>
      </c>
      <c r="B7" s="93" t="s">
        <v>35</v>
      </c>
      <c r="C7" s="94">
        <v>20</v>
      </c>
      <c r="D7" s="95">
        <v>6</v>
      </c>
      <c r="E7" s="95">
        <v>15</v>
      </c>
      <c r="F7" s="95">
        <v>8</v>
      </c>
      <c r="G7" s="95">
        <v>5</v>
      </c>
      <c r="H7" s="95">
        <v>8</v>
      </c>
      <c r="I7" s="95">
        <v>9</v>
      </c>
      <c r="J7" s="95">
        <v>10</v>
      </c>
      <c r="K7" s="95">
        <v>9</v>
      </c>
      <c r="L7" s="95"/>
      <c r="M7" s="95"/>
      <c r="N7" s="95">
        <v>9</v>
      </c>
      <c r="O7" s="95">
        <v>15</v>
      </c>
      <c r="P7" s="95">
        <v>60</v>
      </c>
      <c r="Q7" s="95">
        <v>15</v>
      </c>
      <c r="R7" s="95">
        <v>15</v>
      </c>
      <c r="S7" s="95">
        <v>10</v>
      </c>
      <c r="T7" s="95">
        <v>15</v>
      </c>
      <c r="U7" s="95">
        <v>18</v>
      </c>
      <c r="V7" s="95">
        <v>15</v>
      </c>
      <c r="W7" s="95">
        <v>15</v>
      </c>
      <c r="X7" s="95">
        <v>73</v>
      </c>
    </row>
    <row r="8" spans="1:26" ht="17.25" thickBot="1" x14ac:dyDescent="0.35">
      <c r="A8" s="93" t="s">
        <v>32</v>
      </c>
      <c r="B8" s="93" t="s">
        <v>33</v>
      </c>
      <c r="C8" s="94">
        <v>20</v>
      </c>
      <c r="D8" s="95">
        <v>7</v>
      </c>
      <c r="E8" s="95">
        <v>15</v>
      </c>
      <c r="F8" s="95">
        <v>8</v>
      </c>
      <c r="G8" s="95">
        <v>7</v>
      </c>
      <c r="H8" s="95">
        <v>7</v>
      </c>
      <c r="I8" s="95">
        <v>10</v>
      </c>
      <c r="J8" s="95">
        <v>9</v>
      </c>
      <c r="K8" s="95">
        <v>9</v>
      </c>
      <c r="L8" s="95"/>
      <c r="M8" s="95"/>
      <c r="N8" s="95">
        <v>5</v>
      </c>
      <c r="O8" s="95">
        <v>15</v>
      </c>
      <c r="P8" s="95">
        <v>55</v>
      </c>
      <c r="Q8" s="95">
        <v>15</v>
      </c>
      <c r="R8" s="95">
        <v>15</v>
      </c>
      <c r="S8" s="95">
        <v>9</v>
      </c>
      <c r="T8" s="95">
        <v>10</v>
      </c>
      <c r="U8" s="95">
        <v>10</v>
      </c>
      <c r="V8" s="95">
        <v>20</v>
      </c>
      <c r="W8" s="95">
        <v>10</v>
      </c>
      <c r="X8" s="95">
        <v>69</v>
      </c>
    </row>
    <row r="9" spans="1:26" x14ac:dyDescent="0.25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</row>
  </sheetData>
  <mergeCells count="1">
    <mergeCell ref="A1:X1"/>
  </mergeCells>
  <pageMargins left="0.12" right="0.1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A10"/>
  <sheetViews>
    <sheetView tabSelected="1" workbookViewId="0">
      <selection activeCell="J2" sqref="J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140625" style="12" customWidth="1"/>
    <col min="23" max="23" width="4.5703125" style="12" customWidth="1"/>
    <col min="24" max="24" width="4.85546875" style="12" customWidth="1"/>
    <col min="25" max="25" width="7.4257812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45" t="s">
        <v>126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</row>
    <row r="2" spans="1:27" ht="137.25" x14ac:dyDescent="0.35">
      <c r="A2" s="84"/>
      <c r="B2" s="84"/>
      <c r="C2" s="85" t="s">
        <v>89</v>
      </c>
      <c r="D2" s="85" t="s">
        <v>90</v>
      </c>
      <c r="E2" s="85" t="s">
        <v>91</v>
      </c>
      <c r="F2" s="85" t="s">
        <v>71</v>
      </c>
      <c r="G2" s="85" t="s">
        <v>59</v>
      </c>
      <c r="H2" s="85" t="s">
        <v>118</v>
      </c>
      <c r="I2" s="85" t="s">
        <v>62</v>
      </c>
      <c r="J2" s="85" t="s">
        <v>72</v>
      </c>
      <c r="K2" s="85" t="s">
        <v>73</v>
      </c>
      <c r="L2" s="85" t="s">
        <v>74</v>
      </c>
      <c r="M2" s="85" t="s">
        <v>119</v>
      </c>
      <c r="N2" s="86" t="s">
        <v>120</v>
      </c>
      <c r="O2" s="86" t="s">
        <v>65</v>
      </c>
      <c r="P2" s="86" t="s">
        <v>121</v>
      </c>
      <c r="Q2" s="86" t="s">
        <v>114</v>
      </c>
      <c r="R2" s="86" t="s">
        <v>122</v>
      </c>
      <c r="S2" s="86" t="s">
        <v>79</v>
      </c>
      <c r="T2" s="86" t="s">
        <v>92</v>
      </c>
      <c r="U2" s="86" t="s">
        <v>80</v>
      </c>
      <c r="V2" s="86" t="s">
        <v>63</v>
      </c>
      <c r="W2" s="86" t="s">
        <v>69</v>
      </c>
      <c r="X2" s="86" t="s">
        <v>123</v>
      </c>
      <c r="Y2" s="87" t="s">
        <v>21</v>
      </c>
      <c r="AA2" s="88"/>
    </row>
    <row r="3" spans="1:27" ht="17.25" thickBot="1" x14ac:dyDescent="0.35">
      <c r="A3" s="89" t="s">
        <v>19</v>
      </c>
      <c r="B3" s="90" t="s">
        <v>18</v>
      </c>
      <c r="C3" s="91" t="s">
        <v>93</v>
      </c>
      <c r="D3" s="92" t="s">
        <v>94</v>
      </c>
      <c r="E3" s="92" t="s">
        <v>95</v>
      </c>
      <c r="F3" s="92" t="s">
        <v>96</v>
      </c>
      <c r="G3" s="92" t="s">
        <v>97</v>
      </c>
      <c r="H3" s="92" t="s">
        <v>98</v>
      </c>
      <c r="I3" s="92" t="s">
        <v>99</v>
      </c>
      <c r="J3" s="92" t="s">
        <v>100</v>
      </c>
      <c r="K3" s="92" t="s">
        <v>101</v>
      </c>
      <c r="L3" s="92" t="s">
        <v>117</v>
      </c>
      <c r="M3" s="92" t="s">
        <v>116</v>
      </c>
      <c r="N3" s="92" t="s">
        <v>102</v>
      </c>
      <c r="O3" s="92" t="s">
        <v>103</v>
      </c>
      <c r="P3" s="92" t="s">
        <v>104</v>
      </c>
      <c r="Q3" s="92" t="s">
        <v>105</v>
      </c>
      <c r="R3" s="92" t="s">
        <v>106</v>
      </c>
      <c r="S3" s="92" t="s">
        <v>107</v>
      </c>
      <c r="T3" s="92" t="s">
        <v>108</v>
      </c>
      <c r="U3" s="92" t="s">
        <v>109</v>
      </c>
      <c r="V3" s="92" t="s">
        <v>110</v>
      </c>
      <c r="W3" s="92" t="s">
        <v>111</v>
      </c>
      <c r="X3" s="92" t="s">
        <v>112</v>
      </c>
      <c r="Y3" s="92" t="s">
        <v>113</v>
      </c>
    </row>
    <row r="4" spans="1:27" ht="17.25" thickBot="1" x14ac:dyDescent="0.35">
      <c r="A4" s="97" t="s">
        <v>217</v>
      </c>
      <c r="B4" s="97" t="s">
        <v>218</v>
      </c>
      <c r="C4" s="94"/>
      <c r="D4" s="95"/>
      <c r="E4" s="95"/>
      <c r="F4" s="95"/>
      <c r="G4" s="95"/>
      <c r="H4" s="95"/>
      <c r="I4" s="95"/>
      <c r="J4" s="95"/>
      <c r="K4" s="95"/>
      <c r="L4" s="98"/>
      <c r="M4" s="98"/>
      <c r="N4" s="95"/>
      <c r="O4" s="95"/>
      <c r="P4" s="95"/>
      <c r="Q4" s="95"/>
      <c r="R4" s="95"/>
      <c r="S4" s="95"/>
      <c r="T4" s="95"/>
      <c r="U4" s="95"/>
      <c r="V4" s="95"/>
      <c r="W4" s="95"/>
      <c r="X4" s="95">
        <v>15</v>
      </c>
      <c r="Y4" s="95">
        <v>4.2</v>
      </c>
    </row>
    <row r="5" spans="1:27" ht="17.25" thickBot="1" x14ac:dyDescent="0.35">
      <c r="A5" s="97" t="s">
        <v>221</v>
      </c>
      <c r="B5" s="97" t="s">
        <v>50</v>
      </c>
      <c r="C5" s="94"/>
      <c r="D5" s="95"/>
      <c r="E5" s="95"/>
      <c r="F5" s="95"/>
      <c r="G5" s="95"/>
      <c r="H5" s="95"/>
      <c r="I5" s="95"/>
      <c r="J5" s="95"/>
      <c r="K5" s="95"/>
      <c r="L5" s="98"/>
      <c r="M5" s="98"/>
      <c r="N5" s="95"/>
      <c r="O5" s="95"/>
      <c r="P5" s="95"/>
      <c r="Q5" s="95"/>
      <c r="R5" s="95"/>
      <c r="S5" s="95"/>
      <c r="T5" s="95"/>
      <c r="U5" s="95"/>
      <c r="V5" s="95"/>
      <c r="W5" s="95"/>
      <c r="X5" s="95">
        <v>100</v>
      </c>
      <c r="Y5" s="95">
        <v>27.8</v>
      </c>
    </row>
    <row r="6" spans="1:27" ht="17.25" thickBot="1" x14ac:dyDescent="0.35">
      <c r="A6" s="97" t="s">
        <v>27</v>
      </c>
      <c r="B6" s="97" t="s">
        <v>28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>
        <v>100</v>
      </c>
      <c r="Y6" s="95">
        <v>27.8</v>
      </c>
    </row>
    <row r="7" spans="1:27" ht="17.25" thickBot="1" x14ac:dyDescent="0.35">
      <c r="A7" s="97" t="s">
        <v>27</v>
      </c>
      <c r="B7" s="97" t="s">
        <v>28</v>
      </c>
      <c r="C7" s="94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>
        <v>10</v>
      </c>
      <c r="X7" s="95"/>
      <c r="Y7" s="95">
        <v>2.8</v>
      </c>
    </row>
    <row r="8" spans="1:27" ht="21.75" thickBot="1" x14ac:dyDescent="0.4">
      <c r="A8" s="93" t="s">
        <v>34</v>
      </c>
      <c r="B8" s="93" t="s">
        <v>35</v>
      </c>
      <c r="C8" s="94">
        <v>20</v>
      </c>
      <c r="D8" s="95">
        <v>6</v>
      </c>
      <c r="E8" s="95">
        <v>15</v>
      </c>
      <c r="F8" s="95">
        <v>8</v>
      </c>
      <c r="G8" s="95">
        <v>5</v>
      </c>
      <c r="H8" s="95">
        <v>8</v>
      </c>
      <c r="I8" s="95">
        <v>9</v>
      </c>
      <c r="J8" s="95">
        <v>10</v>
      </c>
      <c r="K8" s="95">
        <v>9</v>
      </c>
      <c r="L8" s="95"/>
      <c r="M8" s="95"/>
      <c r="N8" s="95">
        <v>9</v>
      </c>
      <c r="O8" s="95">
        <v>15</v>
      </c>
      <c r="P8" s="95">
        <v>60</v>
      </c>
      <c r="Q8" s="95">
        <v>15</v>
      </c>
      <c r="R8" s="95">
        <v>15</v>
      </c>
      <c r="S8" s="95">
        <v>10</v>
      </c>
      <c r="T8" s="95">
        <v>15</v>
      </c>
      <c r="U8" s="95">
        <v>18</v>
      </c>
      <c r="V8" s="95">
        <v>15</v>
      </c>
      <c r="W8" s="95">
        <v>15</v>
      </c>
      <c r="X8" s="95">
        <v>15</v>
      </c>
      <c r="Y8" s="96">
        <v>73</v>
      </c>
    </row>
    <row r="9" spans="1:27" ht="21.75" thickBot="1" x14ac:dyDescent="0.4">
      <c r="A9" s="93" t="s">
        <v>32</v>
      </c>
      <c r="B9" s="93" t="s">
        <v>33</v>
      </c>
      <c r="C9" s="94">
        <v>20</v>
      </c>
      <c r="D9" s="95">
        <v>7</v>
      </c>
      <c r="E9" s="95">
        <v>15</v>
      </c>
      <c r="F9" s="95">
        <v>8</v>
      </c>
      <c r="G9" s="95">
        <v>7</v>
      </c>
      <c r="H9" s="95">
        <v>7</v>
      </c>
      <c r="I9" s="95">
        <v>10</v>
      </c>
      <c r="J9" s="95">
        <v>9</v>
      </c>
      <c r="K9" s="95">
        <v>9</v>
      </c>
      <c r="L9" s="95"/>
      <c r="M9" s="95"/>
      <c r="N9" s="95">
        <v>5</v>
      </c>
      <c r="O9" s="95">
        <v>15</v>
      </c>
      <c r="P9" s="95">
        <v>55</v>
      </c>
      <c r="Q9" s="95">
        <v>15</v>
      </c>
      <c r="R9" s="95">
        <v>15</v>
      </c>
      <c r="S9" s="95">
        <v>9</v>
      </c>
      <c r="T9" s="95">
        <v>10</v>
      </c>
      <c r="U9" s="95">
        <v>10</v>
      </c>
      <c r="V9" s="95">
        <v>20</v>
      </c>
      <c r="W9" s="95">
        <v>10</v>
      </c>
      <c r="X9" s="95">
        <v>20</v>
      </c>
      <c r="Y9" s="96">
        <v>69</v>
      </c>
    </row>
    <row r="10" spans="1:27" x14ac:dyDescent="0.25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</row>
  </sheetData>
  <mergeCells count="1">
    <mergeCell ref="A1:Y1"/>
  </mergeCells>
  <pageMargins left="0.11" right="0.1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AA8"/>
  <sheetViews>
    <sheetView workbookViewId="0">
      <selection activeCell="Z2" sqref="Z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140625" style="12" customWidth="1"/>
    <col min="23" max="23" width="4.5703125" style="12" customWidth="1"/>
    <col min="24" max="24" width="4.85546875" style="12" customWidth="1"/>
    <col min="25" max="25" width="7.4257812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45" t="s">
        <v>127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</row>
    <row r="2" spans="1:27" ht="137.25" x14ac:dyDescent="0.35">
      <c r="A2" s="84"/>
      <c r="B2" s="84"/>
      <c r="C2" s="85" t="s">
        <v>89</v>
      </c>
      <c r="D2" s="85" t="s">
        <v>90</v>
      </c>
      <c r="E2" s="85" t="s">
        <v>91</v>
      </c>
      <c r="F2" s="85" t="s">
        <v>71</v>
      </c>
      <c r="G2" s="85" t="s">
        <v>59</v>
      </c>
      <c r="H2" s="85" t="s">
        <v>118</v>
      </c>
      <c r="I2" s="85" t="s">
        <v>62</v>
      </c>
      <c r="J2" s="85" t="s">
        <v>72</v>
      </c>
      <c r="K2" s="85" t="s">
        <v>73</v>
      </c>
      <c r="L2" s="85" t="s">
        <v>74</v>
      </c>
      <c r="M2" s="85" t="s">
        <v>119</v>
      </c>
      <c r="N2" s="86" t="s">
        <v>120</v>
      </c>
      <c r="O2" s="86" t="s">
        <v>65</v>
      </c>
      <c r="P2" s="86" t="s">
        <v>121</v>
      </c>
      <c r="Q2" s="86" t="s">
        <v>114</v>
      </c>
      <c r="R2" s="86" t="s">
        <v>122</v>
      </c>
      <c r="S2" s="86" t="s">
        <v>79</v>
      </c>
      <c r="T2" s="86" t="s">
        <v>92</v>
      </c>
      <c r="U2" s="86" t="s">
        <v>80</v>
      </c>
      <c r="V2" s="86" t="s">
        <v>63</v>
      </c>
      <c r="W2" s="86" t="s">
        <v>69</v>
      </c>
      <c r="X2" s="86" t="s">
        <v>123</v>
      </c>
      <c r="Y2" s="87" t="s">
        <v>21</v>
      </c>
      <c r="AA2" s="88"/>
    </row>
    <row r="3" spans="1:27" ht="17.25" thickBot="1" x14ac:dyDescent="0.35">
      <c r="A3" s="89" t="s">
        <v>19</v>
      </c>
      <c r="B3" s="90" t="s">
        <v>18</v>
      </c>
      <c r="C3" s="91" t="s">
        <v>93</v>
      </c>
      <c r="D3" s="92" t="s">
        <v>94</v>
      </c>
      <c r="E3" s="92" t="s">
        <v>95</v>
      </c>
      <c r="F3" s="92" t="s">
        <v>96</v>
      </c>
      <c r="G3" s="92" t="s">
        <v>97</v>
      </c>
      <c r="H3" s="92" t="s">
        <v>98</v>
      </c>
      <c r="I3" s="92" t="s">
        <v>99</v>
      </c>
      <c r="J3" s="92" t="s">
        <v>100</v>
      </c>
      <c r="K3" s="92" t="s">
        <v>101</v>
      </c>
      <c r="L3" s="92" t="s">
        <v>117</v>
      </c>
      <c r="M3" s="92" t="s">
        <v>116</v>
      </c>
      <c r="N3" s="92" t="s">
        <v>102</v>
      </c>
      <c r="O3" s="92" t="s">
        <v>103</v>
      </c>
      <c r="P3" s="92" t="s">
        <v>104</v>
      </c>
      <c r="Q3" s="92" t="s">
        <v>105</v>
      </c>
      <c r="R3" s="92" t="s">
        <v>106</v>
      </c>
      <c r="S3" s="92" t="s">
        <v>107</v>
      </c>
      <c r="T3" s="92" t="s">
        <v>108</v>
      </c>
      <c r="U3" s="92" t="s">
        <v>109</v>
      </c>
      <c r="V3" s="92" t="s">
        <v>110</v>
      </c>
      <c r="W3" s="92" t="s">
        <v>111</v>
      </c>
      <c r="X3" s="92" t="s">
        <v>112</v>
      </c>
      <c r="Y3" s="92" t="s">
        <v>113</v>
      </c>
    </row>
    <row r="4" spans="1:27" ht="17.25" thickBot="1" x14ac:dyDescent="0.35">
      <c r="A4" s="97" t="s">
        <v>30</v>
      </c>
      <c r="B4" s="97" t="s">
        <v>31</v>
      </c>
      <c r="C4" s="94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>
        <v>100</v>
      </c>
      <c r="Y4" s="95">
        <v>27.8</v>
      </c>
    </row>
    <row r="5" spans="1:27" ht="17.25" thickBot="1" x14ac:dyDescent="0.35">
      <c r="A5" s="97" t="s">
        <v>27</v>
      </c>
      <c r="B5" s="97" t="s">
        <v>28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>
        <v>0</v>
      </c>
    </row>
    <row r="6" spans="1:27" ht="21.75" thickBot="1" x14ac:dyDescent="0.4">
      <c r="A6" s="93" t="s">
        <v>34</v>
      </c>
      <c r="B6" s="93" t="s">
        <v>35</v>
      </c>
      <c r="C6" s="94">
        <v>20</v>
      </c>
      <c r="D6" s="95">
        <v>6</v>
      </c>
      <c r="E6" s="95">
        <v>15</v>
      </c>
      <c r="F6" s="95">
        <v>8</v>
      </c>
      <c r="G6" s="95">
        <v>5</v>
      </c>
      <c r="H6" s="95">
        <v>8</v>
      </c>
      <c r="I6" s="95">
        <v>9</v>
      </c>
      <c r="J6" s="95">
        <v>10</v>
      </c>
      <c r="K6" s="95">
        <v>9</v>
      </c>
      <c r="L6" s="95"/>
      <c r="M6" s="95"/>
      <c r="N6" s="95">
        <v>9</v>
      </c>
      <c r="O6" s="95">
        <v>15</v>
      </c>
      <c r="P6" s="95">
        <v>60</v>
      </c>
      <c r="Q6" s="95">
        <v>15</v>
      </c>
      <c r="R6" s="95">
        <v>15</v>
      </c>
      <c r="S6" s="95">
        <v>10</v>
      </c>
      <c r="T6" s="95">
        <v>15</v>
      </c>
      <c r="U6" s="95">
        <v>18</v>
      </c>
      <c r="V6" s="95">
        <v>15</v>
      </c>
      <c r="W6" s="95">
        <v>15</v>
      </c>
      <c r="X6" s="95">
        <v>15</v>
      </c>
      <c r="Y6" s="96">
        <v>73</v>
      </c>
    </row>
    <row r="7" spans="1:27" ht="21.75" thickBot="1" x14ac:dyDescent="0.4">
      <c r="A7" s="93" t="s">
        <v>32</v>
      </c>
      <c r="B7" s="93" t="s">
        <v>33</v>
      </c>
      <c r="C7" s="94">
        <v>20</v>
      </c>
      <c r="D7" s="95">
        <v>7</v>
      </c>
      <c r="E7" s="95">
        <v>15</v>
      </c>
      <c r="F7" s="95">
        <v>8</v>
      </c>
      <c r="G7" s="95">
        <v>7</v>
      </c>
      <c r="H7" s="95">
        <v>7</v>
      </c>
      <c r="I7" s="95">
        <v>10</v>
      </c>
      <c r="J7" s="95">
        <v>9</v>
      </c>
      <c r="K7" s="95">
        <v>9</v>
      </c>
      <c r="L7" s="95"/>
      <c r="M7" s="95"/>
      <c r="N7" s="95">
        <v>5</v>
      </c>
      <c r="O7" s="95">
        <v>15</v>
      </c>
      <c r="P7" s="95">
        <v>55</v>
      </c>
      <c r="Q7" s="95">
        <v>15</v>
      </c>
      <c r="R7" s="95">
        <v>15</v>
      </c>
      <c r="S7" s="95">
        <v>9</v>
      </c>
      <c r="T7" s="95">
        <v>10</v>
      </c>
      <c r="U7" s="95">
        <v>10</v>
      </c>
      <c r="V7" s="95">
        <v>20</v>
      </c>
      <c r="W7" s="95">
        <v>10</v>
      </c>
      <c r="X7" s="95">
        <v>20</v>
      </c>
      <c r="Y7" s="96">
        <v>69</v>
      </c>
    </row>
    <row r="8" spans="1:27" x14ac:dyDescent="0.25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</row>
  </sheetData>
  <mergeCells count="1">
    <mergeCell ref="A1:Y1"/>
  </mergeCells>
  <pageMargins left="0.14000000000000001" right="0.1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A8"/>
  <sheetViews>
    <sheetView workbookViewId="0">
      <selection activeCell="L2" sqref="L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28515625" style="12" customWidth="1"/>
    <col min="23" max="23" width="4.5703125" style="12" customWidth="1"/>
    <col min="24" max="24" width="4.85546875" style="12" customWidth="1"/>
    <col min="25" max="25" width="7.4257812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45" t="s">
        <v>128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</row>
    <row r="2" spans="1:27" ht="137.25" x14ac:dyDescent="0.35">
      <c r="A2" s="84"/>
      <c r="B2" s="84"/>
      <c r="C2" s="85" t="s">
        <v>89</v>
      </c>
      <c r="D2" s="85" t="s">
        <v>90</v>
      </c>
      <c r="E2" s="85" t="s">
        <v>91</v>
      </c>
      <c r="F2" s="85" t="s">
        <v>71</v>
      </c>
      <c r="G2" s="85" t="s">
        <v>59</v>
      </c>
      <c r="H2" s="85" t="s">
        <v>118</v>
      </c>
      <c r="I2" s="85" t="s">
        <v>62</v>
      </c>
      <c r="J2" s="85" t="s">
        <v>72</v>
      </c>
      <c r="K2" s="85" t="s">
        <v>73</v>
      </c>
      <c r="L2" s="85" t="s">
        <v>74</v>
      </c>
      <c r="M2" s="85" t="s">
        <v>119</v>
      </c>
      <c r="N2" s="86" t="s">
        <v>120</v>
      </c>
      <c r="O2" s="86" t="s">
        <v>65</v>
      </c>
      <c r="P2" s="86" t="s">
        <v>121</v>
      </c>
      <c r="Q2" s="86" t="s">
        <v>114</v>
      </c>
      <c r="R2" s="86" t="s">
        <v>122</v>
      </c>
      <c r="S2" s="86" t="s">
        <v>79</v>
      </c>
      <c r="T2" s="86" t="s">
        <v>92</v>
      </c>
      <c r="U2" s="86" t="s">
        <v>80</v>
      </c>
      <c r="V2" s="86" t="s">
        <v>63</v>
      </c>
      <c r="W2" s="86" t="s">
        <v>69</v>
      </c>
      <c r="X2" s="86" t="s">
        <v>123</v>
      </c>
      <c r="Y2" s="87" t="s">
        <v>21</v>
      </c>
      <c r="AA2" s="88"/>
    </row>
    <row r="3" spans="1:27" ht="17.25" thickBot="1" x14ac:dyDescent="0.35">
      <c r="A3" s="89" t="s">
        <v>19</v>
      </c>
      <c r="B3" s="90" t="s">
        <v>18</v>
      </c>
      <c r="C3" s="91" t="s">
        <v>93</v>
      </c>
      <c r="D3" s="92" t="s">
        <v>94</v>
      </c>
      <c r="E3" s="92" t="s">
        <v>95</v>
      </c>
      <c r="F3" s="92" t="s">
        <v>96</v>
      </c>
      <c r="G3" s="92" t="s">
        <v>97</v>
      </c>
      <c r="H3" s="92" t="s">
        <v>98</v>
      </c>
      <c r="I3" s="92" t="s">
        <v>99</v>
      </c>
      <c r="J3" s="92" t="s">
        <v>100</v>
      </c>
      <c r="K3" s="92" t="s">
        <v>101</v>
      </c>
      <c r="L3" s="92" t="s">
        <v>117</v>
      </c>
      <c r="M3" s="92" t="s">
        <v>116</v>
      </c>
      <c r="N3" s="92" t="s">
        <v>102</v>
      </c>
      <c r="O3" s="92" t="s">
        <v>103</v>
      </c>
      <c r="P3" s="92" t="s">
        <v>104</v>
      </c>
      <c r="Q3" s="92" t="s">
        <v>105</v>
      </c>
      <c r="R3" s="92" t="s">
        <v>106</v>
      </c>
      <c r="S3" s="92" t="s">
        <v>107</v>
      </c>
      <c r="T3" s="92" t="s">
        <v>108</v>
      </c>
      <c r="U3" s="92" t="s">
        <v>109</v>
      </c>
      <c r="V3" s="92" t="s">
        <v>110</v>
      </c>
      <c r="W3" s="92" t="s">
        <v>111</v>
      </c>
      <c r="X3" s="92" t="s">
        <v>112</v>
      </c>
      <c r="Y3" s="92" t="s">
        <v>113</v>
      </c>
    </row>
    <row r="4" spans="1:27" ht="17.25" thickBot="1" x14ac:dyDescent="0.35">
      <c r="A4" s="97" t="s">
        <v>27</v>
      </c>
      <c r="B4" s="97" t="s">
        <v>28</v>
      </c>
      <c r="C4" s="94">
        <v>10</v>
      </c>
      <c r="D4" s="95">
        <v>10</v>
      </c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>
        <v>5.6</v>
      </c>
    </row>
    <row r="5" spans="1:27" ht="17.25" thickBot="1" x14ac:dyDescent="0.35">
      <c r="A5" s="97" t="s">
        <v>27</v>
      </c>
      <c r="B5" s="97" t="s">
        <v>28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>
        <v>0</v>
      </c>
    </row>
    <row r="6" spans="1:27" ht="21.75" thickBot="1" x14ac:dyDescent="0.4">
      <c r="A6" s="93" t="s">
        <v>34</v>
      </c>
      <c r="B6" s="93" t="s">
        <v>35</v>
      </c>
      <c r="C6" s="94">
        <v>20</v>
      </c>
      <c r="D6" s="95">
        <v>6</v>
      </c>
      <c r="E6" s="95">
        <v>15</v>
      </c>
      <c r="F6" s="95">
        <v>8</v>
      </c>
      <c r="G6" s="95">
        <v>5</v>
      </c>
      <c r="H6" s="95">
        <v>8</v>
      </c>
      <c r="I6" s="95">
        <v>9</v>
      </c>
      <c r="J6" s="95">
        <v>10</v>
      </c>
      <c r="K6" s="95">
        <v>9</v>
      </c>
      <c r="L6" s="95"/>
      <c r="M6" s="95"/>
      <c r="N6" s="95">
        <v>9</v>
      </c>
      <c r="O6" s="95">
        <v>15</v>
      </c>
      <c r="P6" s="95">
        <v>60</v>
      </c>
      <c r="Q6" s="95">
        <v>15</v>
      </c>
      <c r="R6" s="95">
        <v>15</v>
      </c>
      <c r="S6" s="95">
        <v>10</v>
      </c>
      <c r="T6" s="95">
        <v>15</v>
      </c>
      <c r="U6" s="95">
        <v>18</v>
      </c>
      <c r="V6" s="95">
        <v>15</v>
      </c>
      <c r="W6" s="95">
        <v>15</v>
      </c>
      <c r="X6" s="95">
        <v>15</v>
      </c>
      <c r="Y6" s="96">
        <v>73</v>
      </c>
    </row>
    <row r="7" spans="1:27" ht="21.75" thickBot="1" x14ac:dyDescent="0.4">
      <c r="A7" s="93" t="s">
        <v>32</v>
      </c>
      <c r="B7" s="93" t="s">
        <v>33</v>
      </c>
      <c r="C7" s="94">
        <v>20</v>
      </c>
      <c r="D7" s="95">
        <v>7</v>
      </c>
      <c r="E7" s="95">
        <v>15</v>
      </c>
      <c r="F7" s="95">
        <v>8</v>
      </c>
      <c r="G7" s="95">
        <v>7</v>
      </c>
      <c r="H7" s="95">
        <v>7</v>
      </c>
      <c r="I7" s="95">
        <v>10</v>
      </c>
      <c r="J7" s="95">
        <v>9</v>
      </c>
      <c r="K7" s="95">
        <v>9</v>
      </c>
      <c r="L7" s="95"/>
      <c r="M7" s="95"/>
      <c r="N7" s="95">
        <v>5</v>
      </c>
      <c r="O7" s="95">
        <v>15</v>
      </c>
      <c r="P7" s="95">
        <v>55</v>
      </c>
      <c r="Q7" s="95">
        <v>15</v>
      </c>
      <c r="R7" s="95">
        <v>15</v>
      </c>
      <c r="S7" s="95">
        <v>9</v>
      </c>
      <c r="T7" s="95">
        <v>10</v>
      </c>
      <c r="U7" s="95">
        <v>10</v>
      </c>
      <c r="V7" s="95">
        <v>20</v>
      </c>
      <c r="W7" s="95">
        <v>10</v>
      </c>
      <c r="X7" s="95">
        <v>20</v>
      </c>
      <c r="Y7" s="96">
        <v>69</v>
      </c>
    </row>
    <row r="8" spans="1:27" x14ac:dyDescent="0.25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</row>
  </sheetData>
  <mergeCells count="1">
    <mergeCell ref="A1:Y1"/>
  </mergeCells>
  <pageMargins left="0.24" right="0.1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AA11"/>
  <sheetViews>
    <sheetView workbookViewId="0">
      <selection activeCell="Y4" sqref="Y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140625" style="12" customWidth="1"/>
    <col min="23" max="23" width="4.5703125" style="12" customWidth="1"/>
    <col min="24" max="24" width="4.85546875" style="12" customWidth="1"/>
    <col min="25" max="25" width="7.42578125" style="12" customWidth="1"/>
    <col min="26" max="27" width="5.8554687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45" t="s">
        <v>88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</row>
    <row r="2" spans="1:27" ht="137.25" x14ac:dyDescent="0.35">
      <c r="A2" s="84"/>
      <c r="B2" s="84"/>
      <c r="C2" s="85" t="s">
        <v>89</v>
      </c>
      <c r="D2" s="85" t="s">
        <v>90</v>
      </c>
      <c r="E2" s="85" t="s">
        <v>91</v>
      </c>
      <c r="F2" s="85" t="s">
        <v>71</v>
      </c>
      <c r="G2" s="85" t="s">
        <v>59</v>
      </c>
      <c r="H2" s="85" t="s">
        <v>118</v>
      </c>
      <c r="I2" s="85" t="s">
        <v>62</v>
      </c>
      <c r="J2" s="85" t="s">
        <v>72</v>
      </c>
      <c r="K2" s="85" t="s">
        <v>73</v>
      </c>
      <c r="L2" s="85" t="s">
        <v>74</v>
      </c>
      <c r="M2" s="85" t="s">
        <v>119</v>
      </c>
      <c r="N2" s="86" t="s">
        <v>120</v>
      </c>
      <c r="O2" s="86" t="s">
        <v>65</v>
      </c>
      <c r="P2" s="86" t="s">
        <v>121</v>
      </c>
      <c r="Q2" s="86" t="s">
        <v>114</v>
      </c>
      <c r="R2" s="86" t="s">
        <v>122</v>
      </c>
      <c r="S2" s="86" t="s">
        <v>79</v>
      </c>
      <c r="T2" s="86" t="s">
        <v>92</v>
      </c>
      <c r="U2" s="86" t="s">
        <v>80</v>
      </c>
      <c r="V2" s="86" t="s">
        <v>63</v>
      </c>
      <c r="W2" s="86" t="s">
        <v>69</v>
      </c>
      <c r="X2" s="86" t="s">
        <v>123</v>
      </c>
      <c r="Y2" s="87" t="s">
        <v>21</v>
      </c>
      <c r="AA2" s="88"/>
    </row>
    <row r="3" spans="1:27" ht="17.25" thickBot="1" x14ac:dyDescent="0.35">
      <c r="A3" s="89" t="s">
        <v>19</v>
      </c>
      <c r="B3" s="90" t="s">
        <v>18</v>
      </c>
      <c r="C3" s="91" t="s">
        <v>93</v>
      </c>
      <c r="D3" s="92" t="s">
        <v>94</v>
      </c>
      <c r="E3" s="92" t="s">
        <v>95</v>
      </c>
      <c r="F3" s="92" t="s">
        <v>96</v>
      </c>
      <c r="G3" s="92" t="s">
        <v>97</v>
      </c>
      <c r="H3" s="92" t="s">
        <v>98</v>
      </c>
      <c r="I3" s="92" t="s">
        <v>99</v>
      </c>
      <c r="J3" s="92" t="s">
        <v>100</v>
      </c>
      <c r="K3" s="92" t="s">
        <v>101</v>
      </c>
      <c r="L3" s="92" t="s">
        <v>117</v>
      </c>
      <c r="M3" s="92" t="s">
        <v>116</v>
      </c>
      <c r="N3" s="92" t="s">
        <v>102</v>
      </c>
      <c r="O3" s="92" t="s">
        <v>103</v>
      </c>
      <c r="P3" s="92" t="s">
        <v>104</v>
      </c>
      <c r="Q3" s="92" t="s">
        <v>105</v>
      </c>
      <c r="R3" s="92" t="s">
        <v>106</v>
      </c>
      <c r="S3" s="92" t="s">
        <v>107</v>
      </c>
      <c r="T3" s="92" t="s">
        <v>108</v>
      </c>
      <c r="U3" s="92" t="s">
        <v>109</v>
      </c>
      <c r="V3" s="92" t="s">
        <v>110</v>
      </c>
      <c r="W3" s="92" t="s">
        <v>111</v>
      </c>
      <c r="X3" s="92" t="s">
        <v>112</v>
      </c>
      <c r="Y3" s="92" t="s">
        <v>113</v>
      </c>
    </row>
    <row r="4" spans="1:27" ht="17.25" thickBot="1" x14ac:dyDescent="0.35">
      <c r="A4" s="97" t="s">
        <v>221</v>
      </c>
      <c r="B4" s="97" t="s">
        <v>50</v>
      </c>
      <c r="C4" s="94"/>
      <c r="D4" s="95"/>
      <c r="E4" s="95"/>
      <c r="F4" s="95"/>
      <c r="G4" s="95"/>
      <c r="H4" s="95"/>
      <c r="I4" s="95"/>
      <c r="J4" s="95"/>
      <c r="K4" s="95"/>
      <c r="L4" s="98"/>
      <c r="M4" s="98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>
        <v>0</v>
      </c>
    </row>
    <row r="5" spans="1:27" ht="17.25" thickBot="1" x14ac:dyDescent="0.35">
      <c r="A5" s="97" t="s">
        <v>27</v>
      </c>
      <c r="B5" s="97" t="s">
        <v>28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>
        <v>100</v>
      </c>
      <c r="Y5" s="95">
        <v>27.8</v>
      </c>
    </row>
    <row r="6" spans="1:27" ht="17.25" thickBot="1" x14ac:dyDescent="0.35">
      <c r="A6" s="97" t="s">
        <v>27</v>
      </c>
      <c r="B6" s="97" t="s">
        <v>28</v>
      </c>
      <c r="C6" s="94">
        <v>10</v>
      </c>
      <c r="D6" s="95">
        <v>10</v>
      </c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>
        <v>10</v>
      </c>
      <c r="U6" s="95">
        <v>10</v>
      </c>
      <c r="V6" s="95"/>
      <c r="W6" s="95">
        <v>10</v>
      </c>
      <c r="X6" s="95">
        <v>100</v>
      </c>
      <c r="Y6" s="95">
        <v>41.7</v>
      </c>
    </row>
    <row r="7" spans="1:27" ht="17.25" thickBot="1" x14ac:dyDescent="0.35">
      <c r="A7" s="97" t="s">
        <v>27</v>
      </c>
      <c r="B7" s="97" t="s">
        <v>28</v>
      </c>
      <c r="C7" s="94">
        <v>10</v>
      </c>
      <c r="D7" s="95">
        <v>10</v>
      </c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>
        <v>10</v>
      </c>
      <c r="U7" s="95">
        <v>10</v>
      </c>
      <c r="V7" s="95"/>
      <c r="W7" s="95">
        <v>10</v>
      </c>
      <c r="X7" s="95">
        <v>100</v>
      </c>
      <c r="Y7" s="95">
        <v>41.7</v>
      </c>
    </row>
    <row r="8" spans="1:27" ht="17.25" thickBot="1" x14ac:dyDescent="0.35">
      <c r="A8" s="97" t="s">
        <v>23</v>
      </c>
      <c r="B8" s="97" t="s">
        <v>24</v>
      </c>
      <c r="C8" s="94">
        <v>10</v>
      </c>
      <c r="D8" s="95">
        <v>10</v>
      </c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>
        <v>10</v>
      </c>
      <c r="X8" s="95">
        <v>100</v>
      </c>
      <c r="Y8" s="95">
        <v>36.1</v>
      </c>
    </row>
    <row r="9" spans="1:27" ht="21.75" thickBot="1" x14ac:dyDescent="0.4">
      <c r="A9" s="93" t="s">
        <v>34</v>
      </c>
      <c r="B9" s="93" t="s">
        <v>35</v>
      </c>
      <c r="C9" s="94">
        <v>20</v>
      </c>
      <c r="D9" s="95">
        <v>6</v>
      </c>
      <c r="E9" s="95">
        <v>15</v>
      </c>
      <c r="F9" s="95">
        <v>8</v>
      </c>
      <c r="G9" s="95">
        <v>5</v>
      </c>
      <c r="H9" s="95">
        <v>8</v>
      </c>
      <c r="I9" s="95">
        <v>9</v>
      </c>
      <c r="J9" s="95">
        <v>10</v>
      </c>
      <c r="K9" s="95">
        <v>9</v>
      </c>
      <c r="L9" s="95"/>
      <c r="M9" s="95"/>
      <c r="N9" s="95">
        <v>9</v>
      </c>
      <c r="O9" s="95">
        <v>15</v>
      </c>
      <c r="P9" s="95">
        <v>60</v>
      </c>
      <c r="Q9" s="95">
        <v>15</v>
      </c>
      <c r="R9" s="95">
        <v>15</v>
      </c>
      <c r="S9" s="95">
        <v>10</v>
      </c>
      <c r="T9" s="95">
        <v>15</v>
      </c>
      <c r="U9" s="95">
        <v>18</v>
      </c>
      <c r="V9" s="95">
        <v>15</v>
      </c>
      <c r="W9" s="95">
        <v>15</v>
      </c>
      <c r="X9" s="95">
        <v>15</v>
      </c>
      <c r="Y9" s="96">
        <v>73</v>
      </c>
    </row>
    <row r="10" spans="1:27" ht="21.75" thickBot="1" x14ac:dyDescent="0.4">
      <c r="A10" s="93" t="s">
        <v>32</v>
      </c>
      <c r="B10" s="93" t="s">
        <v>33</v>
      </c>
      <c r="C10" s="94">
        <v>20</v>
      </c>
      <c r="D10" s="95">
        <v>7</v>
      </c>
      <c r="E10" s="95">
        <v>15</v>
      </c>
      <c r="F10" s="95">
        <v>8</v>
      </c>
      <c r="G10" s="95">
        <v>7</v>
      </c>
      <c r="H10" s="95">
        <v>7</v>
      </c>
      <c r="I10" s="95">
        <v>10</v>
      </c>
      <c r="J10" s="95">
        <v>9</v>
      </c>
      <c r="K10" s="95">
        <v>9</v>
      </c>
      <c r="L10" s="95"/>
      <c r="M10" s="95"/>
      <c r="N10" s="95">
        <v>5</v>
      </c>
      <c r="O10" s="95">
        <v>15</v>
      </c>
      <c r="P10" s="95">
        <v>55</v>
      </c>
      <c r="Q10" s="95">
        <v>15</v>
      </c>
      <c r="R10" s="95">
        <v>15</v>
      </c>
      <c r="S10" s="95">
        <v>9</v>
      </c>
      <c r="T10" s="95">
        <v>10</v>
      </c>
      <c r="U10" s="95">
        <v>10</v>
      </c>
      <c r="V10" s="95">
        <v>20</v>
      </c>
      <c r="W10" s="95">
        <v>10</v>
      </c>
      <c r="X10" s="95">
        <v>20</v>
      </c>
      <c r="Y10" s="96">
        <v>69</v>
      </c>
    </row>
    <row r="11" spans="1:27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</row>
  </sheetData>
  <mergeCells count="1">
    <mergeCell ref="A1:Y1"/>
  </mergeCells>
  <pageMargins left="0.21" right="0.3" top="0.75" bottom="0.75" header="0.3" footer="0.3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GrEXM2S</vt:lpstr>
      <vt:lpstr>GrEXM1S</vt:lpstr>
      <vt:lpstr>Gr2P</vt:lpstr>
      <vt:lpstr>Gr4P</vt:lpstr>
      <vt:lpstr>Gr3P</vt:lpstr>
      <vt:lpstr>Gr1P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2021-03-13T16:11:10Z</cp:lastPrinted>
  <dcterms:created xsi:type="dcterms:W3CDTF">2019-12-12T07:48:50Z</dcterms:created>
  <dcterms:modified xsi:type="dcterms:W3CDTF">2021-03-20T06:48:39Z</dcterms:modified>
</cp:coreProperties>
</file>