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OPTIONS\EDUCATION PHYSIQUE\1ère\"/>
    </mc:Choice>
  </mc:AlternateContent>
  <bookViews>
    <workbookView xWindow="-120" yWindow="-120" windowWidth="20730" windowHeight="11310" activeTab="1"/>
  </bookViews>
  <sheets>
    <sheet name="BLL" sheetId="2" r:id="rId1"/>
    <sheet name="BD" sheetId="3" r:id="rId2"/>
    <sheet name="CLS" sheetId="6" r:id="rId3"/>
    <sheet name="PLM" sheetId="5" r:id="rId4"/>
    <sheet name="GrEXM1S" sheetId="12" r:id="rId5"/>
    <sheet name="Gr2P" sheetId="11" r:id="rId6"/>
    <sheet name="GrEXM2S" sheetId="15" r:id="rId7"/>
    <sheet name="Gr4P" sheetId="14" r:id="rId8"/>
    <sheet name="Gr3P" sheetId="13" r:id="rId9"/>
    <sheet name="Gr1P" sheetId="10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5" l="1"/>
  <c r="I17" i="5" l="1"/>
  <c r="I10" i="5"/>
  <c r="I9" i="5"/>
  <c r="I6" i="5"/>
  <c r="I5" i="5"/>
  <c r="F6" i="5"/>
  <c r="I3" i="5"/>
  <c r="H3" i="5"/>
  <c r="I13" i="5" s="1"/>
  <c r="I14" i="5" l="1"/>
  <c r="G44" i="2"/>
  <c r="J42" i="2" l="1"/>
  <c r="F42" i="2"/>
  <c r="K42" i="2" l="1"/>
  <c r="J38" i="2"/>
  <c r="J39" i="2"/>
  <c r="J40" i="2"/>
  <c r="J37" i="2"/>
  <c r="F38" i="2"/>
  <c r="F39" i="2"/>
  <c r="F40" i="2"/>
  <c r="F37" i="2"/>
  <c r="K37" i="2" s="1"/>
  <c r="J35" i="2"/>
  <c r="F35" i="2"/>
  <c r="J25" i="2"/>
  <c r="J26" i="2"/>
  <c r="J27" i="2"/>
  <c r="J28" i="2"/>
  <c r="J29" i="2"/>
  <c r="J30" i="2"/>
  <c r="J31" i="2"/>
  <c r="J32" i="2"/>
  <c r="J33" i="2"/>
  <c r="J24" i="2"/>
  <c r="F25" i="2"/>
  <c r="F26" i="2"/>
  <c r="F27" i="2"/>
  <c r="K27" i="2" s="1"/>
  <c r="F28" i="2"/>
  <c r="F29" i="2"/>
  <c r="F30" i="2"/>
  <c r="K30" i="2" s="1"/>
  <c r="F31" i="2"/>
  <c r="K31" i="2" s="1"/>
  <c r="F32" i="2"/>
  <c r="F33" i="2"/>
  <c r="F24" i="2"/>
  <c r="K24" i="2" s="1"/>
  <c r="J20" i="2"/>
  <c r="J21" i="2"/>
  <c r="J22" i="2"/>
  <c r="J19" i="2"/>
  <c r="F20" i="2"/>
  <c r="F21" i="2"/>
  <c r="K21" i="2" s="1"/>
  <c r="F22" i="2"/>
  <c r="F19" i="2"/>
  <c r="I44" i="2"/>
  <c r="H44" i="2"/>
  <c r="E44" i="2"/>
  <c r="D44" i="2"/>
  <c r="C44" i="2"/>
  <c r="C45" i="2" s="1"/>
  <c r="K26" i="2" l="1"/>
  <c r="K39" i="2"/>
  <c r="K38" i="2"/>
  <c r="K22" i="2"/>
  <c r="K20" i="2"/>
  <c r="K35" i="2"/>
  <c r="K19" i="2"/>
  <c r="K40" i="2"/>
  <c r="K29" i="2"/>
  <c r="K25" i="2"/>
  <c r="K33" i="2"/>
  <c r="K32" i="2"/>
  <c r="K28" i="2"/>
  <c r="F44" i="2"/>
  <c r="J44" i="2"/>
  <c r="B10" i="6"/>
  <c r="K44" i="2" l="1"/>
  <c r="B8" i="6"/>
  <c r="B12" i="6" l="1"/>
  <c r="I45" i="2" l="1"/>
  <c r="H45" i="2"/>
  <c r="G45" i="2"/>
  <c r="E45" i="2"/>
  <c r="D45" i="2"/>
  <c r="K41" i="2" l="1"/>
  <c r="F45" i="2" l="1"/>
  <c r="J45" i="2" l="1"/>
  <c r="K45" i="2"/>
  <c r="A6" i="3" l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l="1"/>
  <c r="A28" i="3" l="1"/>
  <c r="A29" i="3" l="1"/>
  <c r="A30" i="3" s="1"/>
  <c r="A31" i="3" s="1"/>
  <c r="A32" i="3" s="1"/>
  <c r="A33" i="3" s="1"/>
  <c r="A34" i="3" s="1"/>
  <c r="A35" i="3" l="1"/>
  <c r="A36" i="3" l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<sst xmlns="http://schemas.openxmlformats.org/spreadsheetml/2006/main" count="516" uniqueCount="228">
  <si>
    <t>PREMIER SEMESTRE</t>
  </si>
  <si>
    <t>SECOND SEMESTRE</t>
  </si>
  <si>
    <t>TR. JOURNAL</t>
  </si>
  <si>
    <t xml:space="preserve">    %</t>
  </si>
  <si>
    <t>SIGN. PROF</t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</si>
  <si>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</si>
  <si>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</si>
  <si>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</si>
  <si>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</si>
  <si>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</si>
  <si>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</si>
  <si>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</si>
  <si>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</si>
  <si>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CODE: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</si>
  <si>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</si>
  <si>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</si>
  <si>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</si>
  <si>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</si>
  <si>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</si>
  <si>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</si>
  <si>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</si>
  <si>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</si>
  <si>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</si>
  <si>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M</t>
  </si>
  <si>
    <t>BEDI</t>
  </si>
  <si>
    <t>MALANGU</t>
  </si>
  <si>
    <t>MOKE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</si>
  <si>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</si>
  <si>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</si>
  <si>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BAPITA</t>
  </si>
  <si>
    <t>KASONGO</t>
  </si>
  <si>
    <t>BARUME</t>
  </si>
  <si>
    <t>IRANGI</t>
  </si>
  <si>
    <t>BATUYEKULA</t>
  </si>
  <si>
    <t>KALAKI</t>
  </si>
  <si>
    <t>BAYEBILA</t>
  </si>
  <si>
    <t>BINAMA</t>
  </si>
  <si>
    <t>BIANANI</t>
  </si>
  <si>
    <t>MAYELE</t>
  </si>
  <si>
    <t>BISALU</t>
  </si>
  <si>
    <t>ZOLA</t>
  </si>
  <si>
    <t>BITOTA</t>
  </si>
  <si>
    <t>LUKUSA</t>
  </si>
  <si>
    <t>BITUMBA</t>
  </si>
  <si>
    <t>FATAKI</t>
  </si>
  <si>
    <t>POLO</t>
  </si>
  <si>
    <t>KABEMBA</t>
  </si>
  <si>
    <t>KAPIAMBA</t>
  </si>
  <si>
    <t>KALONJI</t>
  </si>
  <si>
    <t>KAYEMBE</t>
  </si>
  <si>
    <t>KONGOLO</t>
  </si>
  <si>
    <t>LUZOLO</t>
  </si>
  <si>
    <t>LANDU</t>
  </si>
  <si>
    <t>NDONGALA</t>
  </si>
  <si>
    <t>MUTOMBO</t>
  </si>
  <si>
    <t>NTUMBA</t>
  </si>
  <si>
    <t>MUKENDI</t>
  </si>
  <si>
    <t>NGALULA</t>
  </si>
  <si>
    <t>KABENGELE</t>
  </si>
  <si>
    <t>WAWA</t>
  </si>
  <si>
    <t>MUNGA</t>
  </si>
  <si>
    <t xml:space="preserve"> </t>
  </si>
  <si>
    <t xml:space="preserve">Français </t>
  </si>
  <si>
    <r>
      <rPr>
        <b/>
        <sz val="11"/>
        <color theme="1"/>
        <rFont val="Times New Roman"/>
        <family val="1"/>
      </rPr>
      <t>T.G.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</si>
  <si>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Times New Roman"/>
        <family val="1"/>
      </rPr>
      <t>TOT.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</si>
  <si>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.
</t>
    </r>
  </si>
  <si>
    <r>
      <t>1</t>
    </r>
    <r>
      <rPr>
        <b/>
        <vertAlign val="superscript"/>
        <sz val="9"/>
        <color theme="1"/>
        <rFont val="Times New Roman"/>
        <family val="1"/>
      </rPr>
      <t>ère</t>
    </r>
    <r>
      <rPr>
        <b/>
        <sz val="9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</si>
  <si>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</si>
  <si>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</si>
  <si>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4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</si>
  <si>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t>Pratique d'enseignement</t>
  </si>
  <si>
    <t>Gymnastique</t>
  </si>
  <si>
    <t>Sport (1)</t>
  </si>
  <si>
    <t>Chimie</t>
  </si>
  <si>
    <t>Education physique</t>
  </si>
  <si>
    <t>Expression corpor.</t>
  </si>
  <si>
    <t>Géographie</t>
  </si>
  <si>
    <t>Histoire</t>
  </si>
  <si>
    <t>Micro biologie (1)</t>
  </si>
  <si>
    <t>Pédagogie</t>
  </si>
  <si>
    <t>Physique</t>
  </si>
  <si>
    <t>Psycho-pédagogie</t>
  </si>
  <si>
    <t>Soc. Afr. /Ecopol (1)</t>
  </si>
  <si>
    <t>Religion (1)</t>
  </si>
  <si>
    <t>Education à la vie (1)</t>
  </si>
  <si>
    <t>Ed. civ. &amp; morale</t>
  </si>
  <si>
    <t>Informatique</t>
  </si>
  <si>
    <t>Anglais</t>
  </si>
  <si>
    <t>Mathématiques</t>
  </si>
  <si>
    <t>Français</t>
  </si>
  <si>
    <t>Religion</t>
  </si>
  <si>
    <t>Education à la vie</t>
  </si>
  <si>
    <t>;2</t>
  </si>
  <si>
    <t>;3</t>
  </si>
  <si>
    <t>;4</t>
  </si>
  <si>
    <t>;5</t>
  </si>
  <si>
    <t>;6</t>
  </si>
  <si>
    <t>;7</t>
  </si>
  <si>
    <t>;8</t>
  </si>
  <si>
    <t>;9</t>
  </si>
  <si>
    <t>;10</t>
  </si>
  <si>
    <t>;11</t>
  </si>
  <si>
    <t>;12</t>
  </si>
  <si>
    <t>;13</t>
  </si>
  <si>
    <t>;14</t>
  </si>
  <si>
    <t>;15</t>
  </si>
  <si>
    <t>;16</t>
  </si>
  <si>
    <t>;17</t>
  </si>
  <si>
    <t>;18</t>
  </si>
  <si>
    <t>;19</t>
  </si>
  <si>
    <t>;20</t>
  </si>
  <si>
    <t>;21</t>
  </si>
  <si>
    <t>;22</t>
  </si>
  <si>
    <t>GRILLE DES COTES PREMIERE PERIODE</t>
  </si>
  <si>
    <t>Micro biologie</t>
  </si>
  <si>
    <t>Psycho-pégagogie</t>
  </si>
  <si>
    <t>Soc.Afr/Ecopol</t>
  </si>
  <si>
    <t>Gymnastiques</t>
  </si>
  <si>
    <t>Sports</t>
  </si>
  <si>
    <t>Pratique d'enseign.</t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</si>
  <si>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</si>
  <si>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</si>
  <si>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</si>
  <si>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</si>
  <si>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</si>
  <si>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</si>
  <si>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</si>
  <si>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EXAMEN PREMIER SEMESTRE</t>
  </si>
  <si>
    <t>GRILLE DES COTES DEUXIEME PERIODE</t>
  </si>
  <si>
    <t>GRILLE DES COTES EXAMEN DEUXIEME SEMESTRE</t>
  </si>
  <si>
    <t>GRILLE DES COTES QUATRIEME PERIODE</t>
  </si>
  <si>
    <t>GRILLE DES COTES TROISIEME PERIODE</t>
  </si>
  <si>
    <t>ASAMBI</t>
  </si>
  <si>
    <t>KOSO</t>
  </si>
  <si>
    <t>BABONGO</t>
  </si>
  <si>
    <t>BWELI</t>
  </si>
  <si>
    <t>BEMENGA</t>
  </si>
  <si>
    <t>ELIKO</t>
  </si>
  <si>
    <t>BIBA</t>
  </si>
  <si>
    <t>ANGEL</t>
  </si>
  <si>
    <t>BIDI</t>
  </si>
  <si>
    <t>TSHIKANGALA</t>
  </si>
  <si>
    <t>BOLELA</t>
  </si>
  <si>
    <t>BOLUKA</t>
  </si>
  <si>
    <t>BOSOMBO</t>
  </si>
  <si>
    <t>ILOBI</t>
  </si>
  <si>
    <t>DIELA</t>
  </si>
  <si>
    <t>BUMA</t>
  </si>
  <si>
    <t>EKODI</t>
  </si>
  <si>
    <t>EKOLO</t>
  </si>
  <si>
    <t>WINA</t>
  </si>
  <si>
    <t>KABEDI</t>
  </si>
  <si>
    <t>MAYITU</t>
  </si>
  <si>
    <t>KABASONGA</t>
  </si>
  <si>
    <t>KALAMBA</t>
  </si>
  <si>
    <t>TSHITSHI</t>
  </si>
  <si>
    <t>KALOLE</t>
  </si>
  <si>
    <t>HILDA</t>
  </si>
  <si>
    <t>KANKOLONGO</t>
  </si>
  <si>
    <t>KAPENGA</t>
  </si>
  <si>
    <t>MBANZA</t>
  </si>
  <si>
    <t xml:space="preserve">KAPINGA </t>
  </si>
  <si>
    <t>LUZAYA</t>
  </si>
  <si>
    <t>MUINDILA</t>
  </si>
  <si>
    <t>LOKONDA</t>
  </si>
  <si>
    <t>SABOLIA</t>
  </si>
  <si>
    <t>LOUSSAKOU</t>
  </si>
  <si>
    <t>SEHOLO</t>
  </si>
  <si>
    <t>LUKEBA</t>
  </si>
  <si>
    <t>NZONGO</t>
  </si>
  <si>
    <t>LUSAMBA</t>
  </si>
  <si>
    <t>MAKABI</t>
  </si>
  <si>
    <t>MAHUWA</t>
  </si>
  <si>
    <t>MANANGA</t>
  </si>
  <si>
    <t>BOKA</t>
  </si>
  <si>
    <t>MANGATSHU</t>
  </si>
  <si>
    <t>KINGWEZE</t>
  </si>
  <si>
    <t>MANYONGA</t>
  </si>
  <si>
    <t>MASENGU</t>
  </si>
  <si>
    <t>MAYINDOMBE</t>
  </si>
  <si>
    <t>KAZABA</t>
  </si>
  <si>
    <t>MAZO</t>
  </si>
  <si>
    <t>MASAYA</t>
  </si>
  <si>
    <t>MISENGABU</t>
  </si>
  <si>
    <t>MITSHABU</t>
  </si>
  <si>
    <t>MOKANGO</t>
  </si>
  <si>
    <t>AMWESOMI</t>
  </si>
  <si>
    <t>MOKWI</t>
  </si>
  <si>
    <t>MAPWO</t>
  </si>
  <si>
    <t>MPEB</t>
  </si>
  <si>
    <t>MUTEB</t>
  </si>
  <si>
    <t>KABULU</t>
  </si>
  <si>
    <t>MWADI</t>
  </si>
  <si>
    <t>BANGIELULA</t>
  </si>
  <si>
    <t>MWESHI</t>
  </si>
  <si>
    <t>NYAMI</t>
  </si>
  <si>
    <t>MWISANGE</t>
  </si>
  <si>
    <t>NDONGWA</t>
  </si>
  <si>
    <t>LUNDANE</t>
  </si>
  <si>
    <t>NGALI</t>
  </si>
  <si>
    <t>MUPEMBE</t>
  </si>
  <si>
    <t>NGEMI</t>
  </si>
  <si>
    <t>NGANDUNDU</t>
  </si>
  <si>
    <t>NKONDI</t>
  </si>
  <si>
    <t>NSOMBE</t>
  </si>
  <si>
    <t>NKEMU</t>
  </si>
  <si>
    <t>BAKENGE</t>
  </si>
  <si>
    <t>NKWANYI</t>
  </si>
  <si>
    <t>NENGAPETA</t>
  </si>
  <si>
    <t>NZUNGUTA</t>
  </si>
  <si>
    <t>SALOME</t>
  </si>
  <si>
    <t>PAMENE</t>
  </si>
  <si>
    <t>NKOTA</t>
  </si>
  <si>
    <t>SALUMU</t>
  </si>
  <si>
    <t>FAILA</t>
  </si>
  <si>
    <t>TOTO</t>
  </si>
  <si>
    <t>MWANZA</t>
  </si>
  <si>
    <t>TSHAKUTENDA</t>
  </si>
  <si>
    <t>TSHIAMA</t>
  </si>
  <si>
    <t>VAVAY</t>
  </si>
  <si>
    <t>SAYINI</t>
  </si>
  <si>
    <t>NGALIE</t>
  </si>
  <si>
    <t>YABOYI</t>
  </si>
  <si>
    <t>MENZA</t>
  </si>
  <si>
    <t>YUKU-YUKU</t>
  </si>
  <si>
    <t>SIKA</t>
  </si>
  <si>
    <t>WONGO</t>
  </si>
  <si>
    <t>NGBANDA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</si>
</sst>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b/>
      <sz val="10"/>
      <color theme="1"/>
      <name val="Bell MT"/>
      <family val="1"/>
    </font>
    <font>
      <b/>
      <sz val="9"/>
      <color theme="1"/>
      <name val="Bell MT"/>
      <family val="1"/>
    </font>
    <font>
      <sz val="11"/>
      <color rgb="FF0070C0"/>
      <name val="Calibri"/>
      <family val="2"/>
      <scheme val="minor"/>
    </font>
    <font>
      <sz val="9"/>
      <color theme="1"/>
      <name val="Bell MT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1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vertAlign val="superscript"/>
      <sz val="9"/>
      <color theme="1"/>
      <name val="Times New Roman"/>
      <family val="1"/>
    </font>
    <font>
      <b/>
      <sz val="12"/>
      <color theme="1"/>
      <name val="Bell MT"/>
      <family val="1"/>
    </font>
    <font>
      <b/>
      <sz val="12"/>
      <color theme="0"/>
      <name val="Bell MT"/>
      <family val="1"/>
    </font>
    <font>
      <b/>
      <sz val="16"/>
      <color theme="1"/>
      <name val="Bell MT"/>
      <family val="1"/>
    </font>
    <font>
      <b/>
      <sz val="24"/>
      <color theme="1"/>
      <name val="Bell MT"/>
      <family val="1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0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mediumGray">
        <bgColor theme="1"/>
      </patternFill>
    </fill>
    <fill>
      <patternFill patternType="darkTrellis"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5"/>
      </patternFill>
    </fill>
  </fills>
  <borders count="41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5" fillId="9" borderId="0" applyNumberFormat="0" applyBorder="0" applyAlignment="0" applyProtection="0"/>
  </cellStyleXfs>
  <cellXfs count="133">
    <xf numFmtId="0" fontId="0" fillId="0" borderId="0" xfId="0"/>
    <xf numFmtId="0" fontId="0" fillId="0" borderId="5" xfId="0" applyBorder="1"/>
    <xf numFmtId="0" fontId="1" fillId="0" borderId="5" xfId="0" applyFont="1" applyBorder="1"/>
    <xf numFmtId="0" fontId="3" fillId="0" borderId="5" xfId="0" applyFont="1" applyBorder="1"/>
    <xf numFmtId="0" fontId="6" fillId="0" borderId="5" xfId="0" applyFont="1" applyBorder="1"/>
    <xf numFmtId="0" fontId="9" fillId="0" borderId="5" xfId="0" applyFont="1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3" fillId="0" borderId="0" xfId="0" applyFont="1"/>
    <xf numFmtId="0" fontId="9" fillId="0" borderId="5" xfId="0" applyFont="1" applyBorder="1" applyAlignment="1">
      <alignment horizontal="right"/>
    </xf>
    <xf numFmtId="0" fontId="14" fillId="0" borderId="0" xfId="0" applyFont="1"/>
    <xf numFmtId="0" fontId="9" fillId="0" borderId="5" xfId="0" applyFont="1" applyBorder="1" applyProtection="1">
      <protection locked="0"/>
    </xf>
    <xf numFmtId="0" fontId="9" fillId="0" borderId="5" xfId="0" applyFont="1" applyBorder="1" applyProtection="1"/>
    <xf numFmtId="0" fontId="13" fillId="0" borderId="0" xfId="0" applyFont="1" applyAlignment="1">
      <alignment horizontal="left"/>
    </xf>
    <xf numFmtId="0" fontId="19" fillId="0" borderId="0" xfId="0" applyFont="1"/>
    <xf numFmtId="0" fontId="19" fillId="0" borderId="0" xfId="0" applyNumberFormat="1" applyFont="1"/>
    <xf numFmtId="0" fontId="0" fillId="0" borderId="0" xfId="0"/>
    <xf numFmtId="0" fontId="15" fillId="4" borderId="18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15" fillId="4" borderId="19" xfId="0" applyFont="1" applyFill="1" applyBorder="1"/>
    <xf numFmtId="0" fontId="15" fillId="4" borderId="21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horizontal="left"/>
    </xf>
    <xf numFmtId="0" fontId="13" fillId="2" borderId="0" xfId="0" applyFont="1" applyFill="1" applyAlignment="1">
      <alignment horizontal="left"/>
    </xf>
    <xf numFmtId="0" fontId="0" fillId="2" borderId="0" xfId="0" applyFont="1" applyFill="1" applyBorder="1" applyAlignment="1" applyProtection="1">
      <alignment horizontal="left"/>
      <protection locked="0"/>
    </xf>
    <xf numFmtId="0" fontId="21" fillId="0" borderId="0" xfId="0" applyFont="1"/>
    <xf numFmtId="0" fontId="22" fillId="0" borderId="0" xfId="0" applyFont="1"/>
    <xf numFmtId="0" fontId="20" fillId="0" borderId="0" xfId="0" applyFont="1"/>
    <xf numFmtId="0" fontId="24" fillId="0" borderId="0" xfId="0" applyFont="1"/>
    <xf numFmtId="0" fontId="23" fillId="5" borderId="0" xfId="0" applyFont="1" applyFill="1"/>
    <xf numFmtId="164" fontId="23" fillId="5" borderId="0" xfId="0" applyNumberFormat="1" applyFont="1" applyFill="1"/>
    <xf numFmtId="0" fontId="25" fillId="0" borderId="0" xfId="0" applyFont="1" applyAlignment="1">
      <alignment horizontal="left"/>
    </xf>
    <xf numFmtId="0" fontId="25" fillId="0" borderId="0" xfId="0" applyFont="1"/>
    <xf numFmtId="0" fontId="25" fillId="2" borderId="0" xfId="0" applyFont="1" applyFill="1" applyAlignment="1">
      <alignment horizontal="left"/>
    </xf>
    <xf numFmtId="0" fontId="2" fillId="0" borderId="0" xfId="0" applyFont="1"/>
    <xf numFmtId="0" fontId="0" fillId="0" borderId="12" xfId="0" applyBorder="1"/>
    <xf numFmtId="0" fontId="0" fillId="0" borderId="14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8" fontId="29" fillId="0" borderId="5" xfId="0" applyNumberFormat="1" applyFont="1" applyBorder="1"/>
    <xf numFmtId="0" fontId="3" fillId="8" borderId="5" xfId="0" applyFont="1" applyFill="1" applyBorder="1"/>
    <xf numFmtId="0" fontId="9" fillId="8" borderId="5" xfId="0" applyFont="1" applyFill="1" applyBorder="1" applyProtection="1">
      <protection locked="0"/>
    </xf>
    <xf numFmtId="0" fontId="0" fillId="0" borderId="24" xfId="0" applyBorder="1"/>
    <xf numFmtId="0" fontId="13" fillId="0" borderId="0" xfId="0" applyFont="1" applyAlignment="1">
      <alignment horizontal="center"/>
    </xf>
    <xf numFmtId="0" fontId="31" fillId="0" borderId="25" xfId="0" applyFont="1" applyBorder="1" applyAlignment="1">
      <alignment horizontal="center" textRotation="90"/>
    </xf>
    <xf numFmtId="0" fontId="31" fillId="0" borderId="25" xfId="0" applyFont="1" applyBorder="1" applyAlignment="1">
      <alignment textRotation="90"/>
    </xf>
    <xf numFmtId="0" fontId="33" fillId="0" borderId="25" xfId="0" applyFont="1" applyBorder="1"/>
    <xf numFmtId="0" fontId="31" fillId="0" borderId="26" xfId="0" applyFont="1" applyBorder="1" applyAlignment="1">
      <alignment horizontal="center"/>
    </xf>
    <xf numFmtId="0" fontId="31" fillId="0" borderId="27" xfId="0" applyFont="1" applyBorder="1" applyAlignment="1">
      <alignment horizontal="center"/>
    </xf>
    <xf numFmtId="0" fontId="32" fillId="0" borderId="28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33" fillId="0" borderId="29" xfId="0" applyFont="1" applyBorder="1" applyAlignment="1">
      <alignment horizontal="center"/>
    </xf>
    <xf numFmtId="11" fontId="13" fillId="0" borderId="0" xfId="0" applyNumberFormat="1" applyFont="1"/>
    <xf numFmtId="0" fontId="31" fillId="0" borderId="0" xfId="0" applyFont="1" applyBorder="1" applyAlignment="1">
      <alignment horizontal="center"/>
    </xf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13" fillId="0" borderId="30" xfId="0" applyFont="1" applyBorder="1"/>
    <xf numFmtId="0" fontId="36" fillId="0" borderId="0" xfId="0" applyFont="1"/>
    <xf numFmtId="0" fontId="13" fillId="0" borderId="31" xfId="0" applyFont="1" applyBorder="1"/>
    <xf numFmtId="0" fontId="13" fillId="0" borderId="32" xfId="0" applyFont="1" applyBorder="1"/>
    <xf numFmtId="0" fontId="13" fillId="0" borderId="33" xfId="0" applyFont="1" applyBorder="1"/>
    <xf numFmtId="0" fontId="13" fillId="0" borderId="32" xfId="0" applyNumberFormat="1" applyFont="1" applyBorder="1"/>
    <xf numFmtId="0" fontId="33" fillId="0" borderId="34" xfId="0" applyFont="1" applyBorder="1"/>
    <xf numFmtId="0" fontId="13" fillId="0" borderId="35" xfId="0" applyFont="1" applyBorder="1"/>
    <xf numFmtId="0" fontId="33" fillId="0" borderId="36" xfId="0" applyFont="1" applyBorder="1"/>
    <xf numFmtId="0" fontId="13" fillId="0" borderId="37" xfId="0" applyFont="1" applyBorder="1"/>
    <xf numFmtId="0" fontId="13" fillId="0" borderId="0" xfId="0" applyFont="1" applyBorder="1"/>
    <xf numFmtId="0" fontId="36" fillId="0" borderId="34" xfId="0" applyFont="1" applyBorder="1" applyProtection="1"/>
    <xf numFmtId="0" fontId="33" fillId="0" borderId="0" xfId="0" applyFont="1" applyBorder="1"/>
    <xf numFmtId="0" fontId="13" fillId="0" borderId="38" xfId="0" applyFont="1" applyBorder="1"/>
    <xf numFmtId="0" fontId="33" fillId="0" borderId="39" xfId="0" applyFont="1" applyBorder="1"/>
    <xf numFmtId="0" fontId="13" fillId="0" borderId="40" xfId="0" applyFont="1" applyBorder="1"/>
    <xf numFmtId="0" fontId="13" fillId="0" borderId="36" xfId="0" applyFont="1" applyBorder="1"/>
    <xf numFmtId="0" fontId="13" fillId="0" borderId="34" xfId="0" applyFont="1" applyBorder="1"/>
    <xf numFmtId="0" fontId="0" fillId="0" borderId="12" xfId="0" applyBorder="1" applyAlignment="1">
      <alignment horizontal="left"/>
    </xf>
    <xf numFmtId="0" fontId="0" fillId="0" borderId="14" xfId="0" applyBorder="1" applyAlignment="1">
      <alignment horizontal="left"/>
    </xf>
    <xf numFmtId="0" fontId="27" fillId="0" borderId="6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8" fillId="0" borderId="6" xfId="0" applyFont="1" applyBorder="1" applyAlignment="1">
      <alignment horizontal="center" wrapText="1"/>
    </xf>
    <xf numFmtId="0" fontId="28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2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8" fillId="0" borderId="12" xfId="0" applyFont="1" applyBorder="1" applyAlignment="1">
      <alignment horizontal="left"/>
    </xf>
    <xf numFmtId="0" fontId="8" fillId="0" borderId="14" xfId="0" applyFont="1" applyBorder="1" applyAlignment="1">
      <alignment horizontal="left"/>
    </xf>
    <xf numFmtId="0" fontId="0" fillId="6" borderId="8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37" fillId="9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34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35">
    <dxf>
      <border outline="0">
        <left style="thin">
          <color theme="5"/>
        </left>
        <right style="thin">
          <color theme="5"/>
        </right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48-46FF-867E-9E5A654C38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48-46FF-867E-9E5A654C38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[1]PLM!$I$13:$I$14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48-46FF-867E-9E5A654C3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</xdr:rowOff>
    </xdr:from>
    <xdr:to>
      <xdr:col>6</xdr:col>
      <xdr:colOff>1</xdr:colOff>
      <xdr:row>17</xdr:row>
      <xdr:rowOff>1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90800" y="3057526"/>
          <a:ext cx="523876" cy="3810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</xdr:txBody>
    </xdr:sp>
    <xdr:clientData/>
  </xdr:twoCellAnchor>
  <xdr:twoCellAnchor>
    <xdr:from>
      <xdr:col>12</xdr:col>
      <xdr:colOff>57151</xdr:colOff>
      <xdr:row>14</xdr:row>
      <xdr:rowOff>38101</xdr:rowOff>
    </xdr:from>
    <xdr:to>
      <xdr:col>13</xdr:col>
      <xdr:colOff>733425</xdr:colOff>
      <xdr:row>15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619751" y="2895601"/>
          <a:ext cx="1152524" cy="16192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           </a:t>
          </a:r>
          <a:r>
            <a:rPr lang="fr-FR" sz="800" b="1"/>
            <a:t>EXAMEN DE </a:t>
          </a:r>
        </a:p>
      </xdr:txBody>
    </xdr:sp>
    <xdr:clientData/>
  </xdr:twoCellAnchor>
  <xdr:twoCellAnchor>
    <xdr:from>
      <xdr:col>12</xdr:col>
      <xdr:colOff>66677</xdr:colOff>
      <xdr:row>15</xdr:row>
      <xdr:rowOff>9526</xdr:rowOff>
    </xdr:from>
    <xdr:to>
      <xdr:col>13</xdr:col>
      <xdr:colOff>704851</xdr:colOff>
      <xdr:row>15</xdr:row>
      <xdr:rowOff>171450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629277" y="3067051"/>
          <a:ext cx="1114424" cy="16192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 baseline="0"/>
            <a:t>           REPECHAGE </a:t>
          </a:r>
          <a:endParaRPr lang="fr-FR" sz="800" b="1"/>
        </a:p>
      </xdr:txBody>
    </xdr:sp>
    <xdr:clientData/>
  </xdr:twoCellAnchor>
  <xdr:twoCellAnchor>
    <xdr:from>
      <xdr:col>0</xdr:col>
      <xdr:colOff>38101</xdr:colOff>
      <xdr:row>14</xdr:row>
      <xdr:rowOff>152401</xdr:rowOff>
    </xdr:from>
    <xdr:to>
      <xdr:col>1</xdr:col>
      <xdr:colOff>714375</xdr:colOff>
      <xdr:row>16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12</xdr:col>
      <xdr:colOff>0</xdr:colOff>
      <xdr:row>43</xdr:row>
      <xdr:rowOff>1</xdr:rowOff>
    </xdr:from>
    <xdr:to>
      <xdr:col>14</xdr:col>
      <xdr:colOff>0</xdr:colOff>
      <xdr:row>49</xdr:row>
      <xdr:rowOff>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676900" y="7134226"/>
          <a:ext cx="1524000" cy="11429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PASSE (1)</a:t>
          </a:r>
        </a:p>
        <a:p>
          <a:r>
            <a:rPr lang="fr-FR" sz="1100"/>
            <a:t>- DOUBLE (1)</a:t>
          </a:r>
        </a:p>
        <a:p>
          <a:r>
            <a:rPr lang="fr-FR" sz="1100"/>
            <a:t>- A ECHOUE (1) </a:t>
          </a:r>
        </a:p>
        <a:p>
          <a:r>
            <a:rPr lang="fr-FR" sz="1100"/>
            <a:t>Le...../....../20......</a:t>
          </a:r>
        </a:p>
        <a:p>
          <a:r>
            <a:rPr lang="fr-FR" sz="800"/>
            <a:t>Le</a:t>
          </a:r>
          <a:r>
            <a:rPr lang="fr-FR" sz="800" baseline="0"/>
            <a:t> Chef d'Etablissement</a:t>
          </a:r>
        </a:p>
        <a:p>
          <a:r>
            <a:rPr lang="fr-FR" sz="800" baseline="0"/>
            <a:t>Sceau de l'école.</a:t>
          </a:r>
          <a:endParaRPr lang="fr-FR" sz="800"/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865</xdr:colOff>
      <xdr:row>12</xdr:row>
      <xdr:rowOff>171450</xdr:rowOff>
    </xdr:from>
    <xdr:to>
      <xdr:col>13</xdr:col>
      <xdr:colOff>1108364</xdr:colOff>
      <xdr:row>14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65" y="2457450"/>
          <a:ext cx="7186181" cy="2095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</a:t>
          </a:r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DE LA 1</a:t>
          </a:r>
          <a:r>
            <a:rPr lang="fr-FR" sz="1100" b="1" strike="noStrike" baseline="30000">
              <a:latin typeface="Times New Roman" panose="02020603050405020304" pitchFamily="18" charset="0"/>
              <a:cs typeface="Times New Roman" panose="02020603050405020304" pitchFamily="18" charset="0"/>
            </a:rPr>
            <a:t>ère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ANNEE HUMANITE EDUCATION PHYSIQUE  ANNEE SCOLAIRE 20..... - 20....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12</xdr:row>
      <xdr:rowOff>173182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186180" cy="1554307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 b="1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latin typeface="Bell MT" panose="02020503060305020303" pitchFamily="18" charset="0"/>
            </a:rPr>
            <a:t>VILLE:...........................................................................</a:t>
          </a:r>
          <a:r>
            <a:rPr lang="fr-FR" sz="1100" b="1" baseline="0">
              <a:latin typeface="Bell MT" panose="02020503060305020303" pitchFamily="18" charset="0"/>
            </a:rPr>
            <a:t>        </a:t>
          </a:r>
          <a:r>
            <a:rPr lang="fr-FR" sz="1050" b="1">
              <a:latin typeface="Bell MT" panose="02020503060305020303" pitchFamily="18" charset="0"/>
            </a:rPr>
            <a:t>ELEVE  :...............................................................................</a:t>
          </a:r>
          <a:r>
            <a:rPr lang="fr-FR" sz="1050" b="1" baseline="0">
              <a:latin typeface="Bell MT" panose="02020503060305020303" pitchFamily="18" charset="0"/>
            </a:rPr>
            <a:t>  </a:t>
          </a: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SEXE:......</a:t>
          </a:r>
        </a:p>
        <a:p>
          <a:r>
            <a:rPr lang="fr-FR" sz="1050" b="1" baseline="0">
              <a:latin typeface="Bell MT" panose="02020503060305020303" pitchFamily="18" charset="0"/>
            </a:rPr>
            <a:t>                              </a:t>
          </a:r>
        </a:p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COMMUNE/TER.(1):...............................................        </a:t>
          </a:r>
          <a:r>
            <a:rPr lang="fr-FR" sz="1050" b="1" baseline="0">
              <a:latin typeface="Bell MT" panose="02020503060305020303" pitchFamily="18" charset="0"/>
            </a:rPr>
            <a:t>NE(E) A :.................................................................... Le:......../....../......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........................................................................</a:t>
          </a:r>
          <a:r>
            <a:rPr lang="fr-FR" sz="110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 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CLASSE:....................................................................................................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:                                                                          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866</xdr:colOff>
      <xdr:row>11</xdr:row>
      <xdr:rowOff>49357</xdr:rowOff>
    </xdr:from>
    <xdr:to>
      <xdr:col>4</xdr:col>
      <xdr:colOff>407843</xdr:colOff>
      <xdr:row>12</xdr:row>
      <xdr:rowOff>87458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98343" y="2144857"/>
          <a:ext cx="2052205" cy="228601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3</a:t>
            </a:r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110838</xdr:colOff>
      <xdr:row>11</xdr:row>
      <xdr:rowOff>42431</xdr:rowOff>
    </xdr:from>
    <xdr:to>
      <xdr:col>13</xdr:col>
      <xdr:colOff>406113</xdr:colOff>
      <xdr:row>12</xdr:row>
      <xdr:rowOff>109105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3816929" y="2137931"/>
          <a:ext cx="2667866" cy="257174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49</xdr:row>
      <xdr:rowOff>9524</xdr:rowOff>
    </xdr:from>
    <xdr:to>
      <xdr:col>14</xdr:col>
      <xdr:colOff>0</xdr:colOff>
      <xdr:row>57</xdr:row>
      <xdr:rowOff>103909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9153524"/>
          <a:ext cx="7186179" cy="161838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0">
              <a:latin typeface="Times New Roman" panose="02020603050405020304" pitchFamily="18" charset="0"/>
              <a:cs typeface="Times New Roman" panose="02020603050405020304" pitchFamily="18" charset="0"/>
            </a:rPr>
            <a:t>- L'élève</a:t>
          </a:r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                                                                                    FAIT A.........................................., le...../......../20.........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Signature de l'élève                                             Sceau de l'école                                                       Le Chef d'Etablissement</a:t>
          </a:r>
        </a:p>
        <a:p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					                    </a:t>
          </a: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Nom et Signature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Note Importante : le Bulletin est sans valeur s'il est raturé ou surchargé                                                                                                              </a:t>
          </a:r>
          <a:r>
            <a:rPr lang="fr-FR" sz="9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IGE/P.S/028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</a:t>
          </a:r>
          <a:r>
            <a:rPr lang="fr-FR" sz="9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Interdiction formelle de reproduire ce bulletin sous peine des sanctions prévues par la loi</a:t>
          </a:r>
          <a:endParaRPr lang="fr-FR" sz="7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190500</xdr:colOff>
      <xdr:row>45</xdr:row>
      <xdr:rowOff>19050</xdr:rowOff>
    </xdr:from>
    <xdr:to>
      <xdr:col>3</xdr:col>
      <xdr:colOff>238125</xdr:colOff>
      <xdr:row>45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45</xdr:row>
      <xdr:rowOff>9525</xdr:rowOff>
    </xdr:from>
    <xdr:to>
      <xdr:col>2</xdr:col>
      <xdr:colOff>219075</xdr:colOff>
      <xdr:row>45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45</xdr:row>
      <xdr:rowOff>19050</xdr:rowOff>
    </xdr:from>
    <xdr:to>
      <xdr:col>6</xdr:col>
      <xdr:colOff>228600</xdr:colOff>
      <xdr:row>45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45</xdr:row>
      <xdr:rowOff>19050</xdr:rowOff>
    </xdr:from>
    <xdr:to>
      <xdr:col>7</xdr:col>
      <xdr:colOff>219075</xdr:colOff>
      <xdr:row>45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45</xdr:row>
      <xdr:rowOff>19050</xdr:rowOff>
    </xdr:from>
    <xdr:to>
      <xdr:col>8</xdr:col>
      <xdr:colOff>257175</xdr:colOff>
      <xdr:row>45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45</xdr:row>
      <xdr:rowOff>19050</xdr:rowOff>
    </xdr:from>
    <xdr:to>
      <xdr:col>9</xdr:col>
      <xdr:colOff>228600</xdr:colOff>
      <xdr:row>45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45</xdr:row>
      <xdr:rowOff>19050</xdr:rowOff>
    </xdr:from>
    <xdr:to>
      <xdr:col>10</xdr:col>
      <xdr:colOff>200025</xdr:colOff>
      <xdr:row>45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45</xdr:row>
      <xdr:rowOff>19050</xdr:rowOff>
    </xdr:from>
    <xdr:to>
      <xdr:col>5</xdr:col>
      <xdr:colOff>295275</xdr:colOff>
      <xdr:row>45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45</xdr:row>
      <xdr:rowOff>19050</xdr:rowOff>
    </xdr:from>
    <xdr:to>
      <xdr:col>4</xdr:col>
      <xdr:colOff>247650</xdr:colOff>
      <xdr:row>45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48</xdr:row>
      <xdr:rowOff>28575</xdr:rowOff>
    </xdr:from>
    <xdr:to>
      <xdr:col>2</xdr:col>
      <xdr:colOff>333375</xdr:colOff>
      <xdr:row>48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48</xdr:row>
      <xdr:rowOff>28575</xdr:rowOff>
    </xdr:from>
    <xdr:to>
      <xdr:col>3</xdr:col>
      <xdr:colOff>371475</xdr:colOff>
      <xdr:row>48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48</xdr:row>
      <xdr:rowOff>38100</xdr:rowOff>
    </xdr:from>
    <xdr:to>
      <xdr:col>4</xdr:col>
      <xdr:colOff>400048</xdr:colOff>
      <xdr:row>48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48</xdr:row>
      <xdr:rowOff>38100</xdr:rowOff>
    </xdr:from>
    <xdr:to>
      <xdr:col>6</xdr:col>
      <xdr:colOff>380998</xdr:colOff>
      <xdr:row>48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48</xdr:row>
      <xdr:rowOff>38100</xdr:rowOff>
    </xdr:from>
    <xdr:to>
      <xdr:col>7</xdr:col>
      <xdr:colOff>400048</xdr:colOff>
      <xdr:row>48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48</xdr:row>
      <xdr:rowOff>38100</xdr:rowOff>
    </xdr:from>
    <xdr:to>
      <xdr:col>8</xdr:col>
      <xdr:colOff>419098</xdr:colOff>
      <xdr:row>48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764597</xdr:colOff>
      <xdr:row>26</xdr:row>
      <xdr:rowOff>17318</xdr:rowOff>
    </xdr:from>
    <xdr:to>
      <xdr:col>16</xdr:col>
      <xdr:colOff>107372</xdr:colOff>
      <xdr:row>37</xdr:row>
      <xdr:rowOff>58883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7960302" y="4918363"/>
          <a:ext cx="988002" cy="2041815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15</xdr:col>
      <xdr:colOff>95251</xdr:colOff>
      <xdr:row>33</xdr:row>
      <xdr:rowOff>34637</xdr:rowOff>
    </xdr:from>
    <xdr:to>
      <xdr:col>15</xdr:col>
      <xdr:colOff>578428</xdr:colOff>
      <xdr:row>35</xdr:row>
      <xdr:rowOff>156730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3569" y="6208569"/>
          <a:ext cx="483177" cy="485775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129021</xdr:colOff>
      <xdr:row>27</xdr:row>
      <xdr:rowOff>68408</xdr:rowOff>
    </xdr:from>
    <xdr:to>
      <xdr:col>15</xdr:col>
      <xdr:colOff>631249</xdr:colOff>
      <xdr:row>29</xdr:row>
      <xdr:rowOff>116031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147339" y="5151294"/>
          <a:ext cx="502228" cy="411305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46</xdr:row>
      <xdr:rowOff>28575</xdr:rowOff>
    </xdr:from>
    <xdr:to>
      <xdr:col>2</xdr:col>
      <xdr:colOff>361950</xdr:colOff>
      <xdr:row>46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46</xdr:row>
      <xdr:rowOff>28575</xdr:rowOff>
    </xdr:from>
    <xdr:to>
      <xdr:col>3</xdr:col>
      <xdr:colOff>381000</xdr:colOff>
      <xdr:row>46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46</xdr:row>
      <xdr:rowOff>28575</xdr:rowOff>
    </xdr:from>
    <xdr:to>
      <xdr:col>4</xdr:col>
      <xdr:colOff>400050</xdr:colOff>
      <xdr:row>46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46</xdr:row>
      <xdr:rowOff>28575</xdr:rowOff>
    </xdr:from>
    <xdr:to>
      <xdr:col>6</xdr:col>
      <xdr:colOff>390525</xdr:colOff>
      <xdr:row>46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46</xdr:row>
      <xdr:rowOff>28575</xdr:rowOff>
    </xdr:from>
    <xdr:to>
      <xdr:col>7</xdr:col>
      <xdr:colOff>342900</xdr:colOff>
      <xdr:row>46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46</xdr:row>
      <xdr:rowOff>28575</xdr:rowOff>
    </xdr:from>
    <xdr:to>
      <xdr:col>8</xdr:col>
      <xdr:colOff>371475</xdr:colOff>
      <xdr:row>46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15</xdr:col>
      <xdr:colOff>226002</xdr:colOff>
      <xdr:row>31</xdr:row>
      <xdr:rowOff>138545</xdr:rowOff>
    </xdr:from>
    <xdr:to>
      <xdr:col>15</xdr:col>
      <xdr:colOff>671079</xdr:colOff>
      <xdr:row>34</xdr:row>
      <xdr:rowOff>49356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44320" y="5948795"/>
          <a:ext cx="445077" cy="456334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17318</xdr:colOff>
      <xdr:row>4</xdr:row>
      <xdr:rowOff>147205</xdr:rowOff>
    </xdr:from>
    <xdr:to>
      <xdr:col>14</xdr:col>
      <xdr:colOff>0</xdr:colOff>
      <xdr:row>5</xdr:row>
      <xdr:rowOff>164523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D7BA9983-C153-44EC-A185-C33B1177171D}"/>
            </a:ext>
          </a:extLst>
        </xdr:cNvPr>
        <xdr:cNvSpPr txBox="1"/>
      </xdr:nvSpPr>
      <xdr:spPr>
        <a:xfrm>
          <a:off x="17318" y="909205"/>
          <a:ext cx="7178387" cy="207818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PROVINCE  :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fr-FR" sz="1100"/>
        </a:p>
      </xdr:txBody>
    </xdr:sp>
    <xdr:clientData/>
  </xdr:twoCellAnchor>
  <xdr:twoCellAnchor>
    <xdr:from>
      <xdr:col>5</xdr:col>
      <xdr:colOff>161927</xdr:colOff>
      <xdr:row>46</xdr:row>
      <xdr:rowOff>36368</xdr:rowOff>
    </xdr:from>
    <xdr:to>
      <xdr:col>5</xdr:col>
      <xdr:colOff>457200</xdr:colOff>
      <xdr:row>46</xdr:row>
      <xdr:rowOff>179243</xdr:rowOff>
    </xdr:to>
    <xdr:sp macro="[0]!AFRTOTO1S" textlink="">
      <xdr:nvSpPr>
        <xdr:cNvPr id="85" name="Rectangle 84">
          <a:extLst>
            <a:ext uri="{FF2B5EF4-FFF2-40B4-BE49-F238E27FC236}">
              <a16:creationId xmlns:a16="http://schemas.microsoft.com/office/drawing/2014/main" id="{9C4FFD3C-DF03-425A-A368-FC8CE26A1AE6}"/>
            </a:ext>
          </a:extLst>
        </xdr:cNvPr>
        <xdr:cNvSpPr/>
      </xdr:nvSpPr>
      <xdr:spPr>
        <a:xfrm>
          <a:off x="2880882" y="8608868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54555</xdr:colOff>
      <xdr:row>46</xdr:row>
      <xdr:rowOff>41563</xdr:rowOff>
    </xdr:from>
    <xdr:to>
      <xdr:col>9</xdr:col>
      <xdr:colOff>349828</xdr:colOff>
      <xdr:row>46</xdr:row>
      <xdr:rowOff>184438</xdr:rowOff>
    </xdr:to>
    <xdr:sp macro="[0]!AFRTOTO2S" textlink="">
      <xdr:nvSpPr>
        <xdr:cNvPr id="103" name="Rectangle 102">
          <a:extLst>
            <a:ext uri="{FF2B5EF4-FFF2-40B4-BE49-F238E27FC236}">
              <a16:creationId xmlns:a16="http://schemas.microsoft.com/office/drawing/2014/main" id="{67BD85F8-BA04-479A-B3B5-BDAFBC4ED2D5}"/>
            </a:ext>
          </a:extLst>
        </xdr:cNvPr>
        <xdr:cNvSpPr/>
      </xdr:nvSpPr>
      <xdr:spPr>
        <a:xfrm>
          <a:off x="4652532" y="8614063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59750</xdr:colOff>
      <xdr:row>46</xdr:row>
      <xdr:rowOff>46759</xdr:rowOff>
    </xdr:from>
    <xdr:to>
      <xdr:col>10</xdr:col>
      <xdr:colOff>355023</xdr:colOff>
      <xdr:row>46</xdr:row>
      <xdr:rowOff>181841</xdr:rowOff>
    </xdr:to>
    <xdr:sp macro="[0]!AFRTG" textlink="">
      <xdr:nvSpPr>
        <xdr:cNvPr id="104" name="Rectangle 103">
          <a:extLst>
            <a:ext uri="{FF2B5EF4-FFF2-40B4-BE49-F238E27FC236}">
              <a16:creationId xmlns:a16="http://schemas.microsoft.com/office/drawing/2014/main" id="{77A20E59-7D58-49DC-96BA-6349AF2E44A3}"/>
            </a:ext>
          </a:extLst>
        </xdr:cNvPr>
        <xdr:cNvSpPr/>
      </xdr:nvSpPr>
      <xdr:spPr>
        <a:xfrm>
          <a:off x="5073364" y="8619259"/>
          <a:ext cx="295273" cy="135082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180975</xdr:rowOff>
    </xdr:from>
    <xdr:ext cx="9734551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" y="180975"/>
          <a:ext cx="9734551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28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PREMIERE EDUCATION PHYSIQUE</a:t>
          </a:r>
          <a:endParaRPr lang="fr-FR" sz="28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29" name="Flèche droite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2]!printpalma">
      <xdr:nvPicPr>
        <xdr:cNvPr id="30" name="Image 29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2]!ecrasepalma">
      <xdr:nvPicPr>
        <xdr:cNvPr id="31" name="Image 3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2]!printpalma">
      <xdr:nvPicPr>
        <xdr:cNvPr id="32" name="Image 3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E77195AB-3C56-4CD6-9B59-DA3582C61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22</xdr:col>
      <xdr:colOff>352425</xdr:colOff>
      <xdr:row>1</xdr:row>
      <xdr:rowOff>1428750</xdr:rowOff>
    </xdr:from>
    <xdr:to>
      <xdr:col>24</xdr:col>
      <xdr:colOff>123825</xdr:colOff>
      <xdr:row>4</xdr:row>
      <xdr:rowOff>114300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48C2B336-7030-40EA-80F8-103DE3FAB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18288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304800</xdr:colOff>
      <xdr:row>1</xdr:row>
      <xdr:rowOff>723900</xdr:rowOff>
    </xdr:from>
    <xdr:to>
      <xdr:col>25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22808120-5BCE-4140-B4B3-9CBA26082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38C08194-B136-4330-A93A-F3F005051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104775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3243D2A4-9811-41ED-A393-088E0B252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18288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8D82CE52-59FB-416B-A2FA-C41690DA2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D607AB2B-0192-4EE1-B12C-D873E8C7B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22</xdr:col>
      <xdr:colOff>352425</xdr:colOff>
      <xdr:row>1</xdr:row>
      <xdr:rowOff>1428750</xdr:rowOff>
    </xdr:from>
    <xdr:to>
      <xdr:col>24</xdr:col>
      <xdr:colOff>123825</xdr:colOff>
      <xdr:row>4</xdr:row>
      <xdr:rowOff>114300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C5064539-737F-4AB6-A480-432F8560F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18288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304800</xdr:colOff>
      <xdr:row>1</xdr:row>
      <xdr:rowOff>723900</xdr:rowOff>
    </xdr:from>
    <xdr:to>
      <xdr:col>25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AB2E9D7D-5ACF-40BA-B673-1B9C1BFA6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0958127B-F932-4BB6-864F-99577623A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104775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B04D0263-2B2A-45FE-849E-A13CEF41B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18288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6D651123-FBC7-4950-91DB-5B9978768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2A1194AD-B331-46CD-A1D9-F18792E15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104775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E9552C55-0B47-471F-A8C2-B20528BA1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18288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DBF78D9-AC88-4BA6-91D7-99E3B36E4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3" name="Image 2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57150</xdr:rowOff>
    </xdr:to>
    <xdr:pic macro="[3]!remplirbullpargrill2p">
      <xdr:nvPicPr>
        <xdr:cNvPr id="4" name="Image 3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5" name="Image 4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OMMERCIALE%20ET%20GESTION\1ere%20COMMERCIALE%20&amp;%20%20GES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TEB\8EME%20CTE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  <definedName name="printpalma"/>
    </defined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63" totalsRowShown="0" headerRowDxfId="34" dataDxfId="33">
  <autoFilter ref="A4:F63"/>
  <sortState ref="A5:P1048567">
    <sortCondition ref="B4:B1048567"/>
  </sortState>
  <tableColumns count="6">
    <tableColumn id="13" name="N°" dataDxfId="32"/>
    <tableColumn id="1" name="NOM " dataDxfId="31"/>
    <tableColumn id="2" name="POST-NOM" dataDxfId="30"/>
    <tableColumn id="3" name="PRENOM" dataDxfId="29"/>
    <tableColumn id="4" name="SEXE" dataDxfId="28"/>
    <tableColumn id="17" name="CONDUITE" dataDxfId="27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6" totalsRowShown="0" headerRowDxfId="23" dataDxfId="22">
  <autoFilter ref="A4:F6"/>
  <sortState ref="A5:F29">
    <sortCondition ref="F4:F29"/>
  </sortState>
  <tableColumns count="6">
    <tableColumn id="1" name="NOM" dataDxfId="21"/>
    <tableColumn id="2" name="POST-NOM" dataDxfId="20"/>
    <tableColumn id="3" name="PRENOM" dataDxfId="19"/>
    <tableColumn id="4" name="SEXE" dataDxfId="18"/>
    <tableColumn id="5" name="%" dataDxfId="17"/>
    <tableColumn id="6" name="PLACE" dataDxfId="16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6" name="Tableau457" displayName="Tableau457" ref="A3:V7" totalsRowShown="0" headerRowDxfId="15" tableBorderDxfId="14">
  <autoFilter ref="A3:V7"/>
  <tableColumns count="22">
    <tableColumn id="1" name="NOM" dataDxfId="13"/>
    <tableColumn id="2" name="POST NOM" dataDxfId="12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4" name="Tableau45" displayName="Tableau45" ref="A3:W8" totalsRowShown="0" headerRowDxfId="11" tableBorderDxfId="10">
  <autoFilter ref="A3:W8"/>
  <tableColumns count="23">
    <tableColumn id="1" name="NOM" dataDxfId="9"/>
    <tableColumn id="2" name="POST NOM" dataDxfId="8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3" name=";22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9" name="Tableau48910" displayName="Tableau48910" ref="A3:V8" totalsRowShown="0" headerRowDxfId="7" tableBorderDxfId="6">
  <autoFilter ref="A3:V8"/>
  <tableColumns count="22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8" name="Tableau489" displayName="Tableau489" ref="A3:W8" totalsRowShown="0" headerRowDxfId="5" tableBorderDxfId="4">
  <autoFilter ref="A3:W8"/>
  <tableColumns count="23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3" name=";22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7" name="Tableau48" displayName="Tableau48" ref="A3:W6" totalsRowShown="0" headerRowDxfId="3" tableBorderDxfId="2">
  <autoFilter ref="A3:W6"/>
  <tableColumns count="23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3" name=";22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3" name="Tableau4" displayName="Tableau4" ref="A3:W5" totalsRowShown="0" headerRowDxfId="1" tableBorderDxfId="0">
  <autoFilter ref="A3:W5"/>
  <tableColumns count="23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2" name=";21"/>
    <tableColumn id="23" name=";22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N59"/>
  <sheetViews>
    <sheetView view="pageLayout" topLeftCell="A38" zoomScale="110" zoomScaleNormal="100" zoomScalePageLayoutView="110" workbookViewId="0">
      <selection activeCell="E45" sqref="E45"/>
    </sheetView>
  </sheetViews>
  <sheetFormatPr baseColWidth="10" defaultRowHeight="15" x14ac:dyDescent="0.25"/>
  <cols>
    <col min="1" max="1" width="8.42578125" customWidth="1"/>
    <col min="2" max="2" width="11.5703125" customWidth="1"/>
    <col min="3" max="4" width="5.7109375" customWidth="1"/>
    <col min="5" max="5" width="6.7109375" customWidth="1"/>
    <col min="6" max="6" width="7.28515625" customWidth="1"/>
    <col min="7" max="7" width="6.42578125" customWidth="1"/>
    <col min="8" max="8" width="5.85546875" customWidth="1"/>
    <col min="9" max="9" width="6.7109375" customWidth="1"/>
    <col min="10" max="10" width="5.85546875" customWidth="1"/>
    <col min="11" max="11" width="6" customWidth="1"/>
    <col min="12" max="12" width="3.140625" customWidth="1"/>
    <col min="13" max="13" width="5.7109375" customWidth="1"/>
    <col min="14" max="14" width="15.5703125" customWidth="1"/>
  </cols>
  <sheetData>
    <row r="1" spans="1:14" x14ac:dyDescent="0.25">
      <c r="A1" s="10" t="s">
        <v>61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6"/>
    </row>
    <row r="2" spans="1:14" x14ac:dyDescent="0.25">
      <c r="A2" s="1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7"/>
    </row>
    <row r="3" spans="1:14" x14ac:dyDescent="0.25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7"/>
    </row>
    <row r="4" spans="1:14" x14ac:dyDescent="0.25">
      <c r="A4" s="11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7"/>
    </row>
    <row r="5" spans="1:14" x14ac:dyDescent="0.25">
      <c r="A5" s="11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7"/>
    </row>
    <row r="6" spans="1:14" x14ac:dyDescent="0.25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7"/>
    </row>
    <row r="7" spans="1:14" x14ac:dyDescent="0.25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7"/>
    </row>
    <row r="8" spans="1:14" x14ac:dyDescent="0.25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7"/>
    </row>
    <row r="9" spans="1:14" x14ac:dyDescent="0.25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7"/>
    </row>
    <row r="10" spans="1:14" x14ac:dyDescent="0.25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7"/>
    </row>
    <row r="11" spans="1:14" x14ac:dyDescent="0.25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7"/>
    </row>
    <row r="12" spans="1:14" x14ac:dyDescent="0.25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7"/>
    </row>
    <row r="13" spans="1:14" x14ac:dyDescent="0.25">
      <c r="A13" s="11" t="s">
        <v>13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7"/>
    </row>
    <row r="14" spans="1:14" x14ac:dyDescent="0.25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7"/>
    </row>
    <row r="15" spans="1:14" ht="12.75" customHeight="1" x14ac:dyDescent="0.3">
      <c r="A15" s="103"/>
      <c r="B15" s="104"/>
      <c r="C15" s="95" t="s">
        <v>0</v>
      </c>
      <c r="D15" s="96"/>
      <c r="E15" s="96"/>
      <c r="F15" s="97"/>
      <c r="G15" s="95" t="s">
        <v>1</v>
      </c>
      <c r="H15" s="96"/>
      <c r="I15" s="96"/>
      <c r="J15" s="97"/>
      <c r="K15" s="90" t="s">
        <v>63</v>
      </c>
      <c r="L15" s="107"/>
      <c r="M15" s="103"/>
      <c r="N15" s="104"/>
    </row>
    <row r="16" spans="1:14" ht="18.75" customHeight="1" x14ac:dyDescent="0.25">
      <c r="A16" s="111"/>
      <c r="B16" s="112"/>
      <c r="C16" s="100" t="s">
        <v>2</v>
      </c>
      <c r="D16" s="101"/>
      <c r="E16" s="98" t="s">
        <v>65</v>
      </c>
      <c r="F16" s="102"/>
      <c r="G16" s="100" t="s">
        <v>2</v>
      </c>
      <c r="H16" s="101"/>
      <c r="I16" s="98" t="s">
        <v>65</v>
      </c>
      <c r="J16" s="90" t="s">
        <v>64</v>
      </c>
      <c r="K16" s="91"/>
      <c r="L16" s="108"/>
      <c r="M16" s="105"/>
      <c r="N16" s="106"/>
    </row>
    <row r="17" spans="1:14" ht="13.5" customHeight="1" x14ac:dyDescent="0.25">
      <c r="A17" s="105"/>
      <c r="B17" s="106"/>
      <c r="C17" s="50" t="s">
        <v>66</v>
      </c>
      <c r="D17" s="2" t="s">
        <v>67</v>
      </c>
      <c r="E17" s="99"/>
      <c r="F17" s="92"/>
      <c r="G17" s="2" t="s">
        <v>68</v>
      </c>
      <c r="H17" s="2" t="s">
        <v>69</v>
      </c>
      <c r="I17" s="99"/>
      <c r="J17" s="92"/>
      <c r="K17" s="92"/>
      <c r="L17" s="108"/>
      <c r="M17" s="2" t="s">
        <v>3</v>
      </c>
      <c r="N17" s="2" t="s">
        <v>4</v>
      </c>
    </row>
    <row r="18" spans="1:14" ht="15.75" x14ac:dyDescent="0.3">
      <c r="A18" s="113" t="s">
        <v>5</v>
      </c>
      <c r="B18" s="114"/>
      <c r="C18" s="3">
        <v>10</v>
      </c>
      <c r="D18" s="3">
        <v>10</v>
      </c>
      <c r="E18" s="3">
        <v>20</v>
      </c>
      <c r="F18" s="3">
        <v>40</v>
      </c>
      <c r="G18" s="3">
        <v>10</v>
      </c>
      <c r="H18" s="3">
        <v>10</v>
      </c>
      <c r="I18" s="3">
        <v>20</v>
      </c>
      <c r="J18" s="3">
        <v>40</v>
      </c>
      <c r="K18" s="3">
        <v>80</v>
      </c>
      <c r="L18" s="108"/>
      <c r="M18" s="93"/>
      <c r="N18" s="94"/>
    </row>
    <row r="19" spans="1:14" ht="14.25" customHeight="1" x14ac:dyDescent="0.25">
      <c r="A19" s="88" t="s">
        <v>83</v>
      </c>
      <c r="B19" s="89"/>
      <c r="C19" s="15"/>
      <c r="D19" s="15"/>
      <c r="E19" s="15"/>
      <c r="F19" s="16">
        <f>SUM(C19:E19)</f>
        <v>0</v>
      </c>
      <c r="G19" s="15"/>
      <c r="H19" s="15"/>
      <c r="I19" s="15"/>
      <c r="J19" s="16">
        <f>SUM(G19:I19)</f>
        <v>0</v>
      </c>
      <c r="K19" s="16">
        <f>SUM(F19,J19)</f>
        <v>0</v>
      </c>
      <c r="L19" s="108"/>
      <c r="M19" s="1"/>
      <c r="N19" s="1"/>
    </row>
    <row r="20" spans="1:14" ht="14.25" customHeight="1" x14ac:dyDescent="0.25">
      <c r="A20" s="88" t="s">
        <v>84</v>
      </c>
      <c r="B20" s="89"/>
      <c r="C20" s="15"/>
      <c r="D20" s="15"/>
      <c r="E20" s="15"/>
      <c r="F20" s="16">
        <f t="shared" ref="F20:F22" si="0">SUM(C20:E20)</f>
        <v>0</v>
      </c>
      <c r="G20" s="15"/>
      <c r="H20" s="15"/>
      <c r="I20" s="15"/>
      <c r="J20" s="16">
        <f t="shared" ref="J20:J22" si="1">SUM(G20:I20)</f>
        <v>0</v>
      </c>
      <c r="K20" s="16">
        <f t="shared" ref="K20:K22" si="2">SUM(F20,J20)</f>
        <v>0</v>
      </c>
      <c r="L20" s="108"/>
      <c r="M20" s="1"/>
      <c r="N20" s="1"/>
    </row>
    <row r="21" spans="1:14" ht="14.25" customHeight="1" x14ac:dyDescent="0.25">
      <c r="A21" s="88" t="s">
        <v>85</v>
      </c>
      <c r="B21" s="89"/>
      <c r="C21" s="15"/>
      <c r="D21" s="15"/>
      <c r="E21" s="15"/>
      <c r="F21" s="16">
        <f t="shared" si="0"/>
        <v>0</v>
      </c>
      <c r="G21" s="15"/>
      <c r="H21" s="15"/>
      <c r="I21" s="15"/>
      <c r="J21" s="16">
        <f t="shared" si="1"/>
        <v>0</v>
      </c>
      <c r="K21" s="16">
        <f t="shared" si="2"/>
        <v>0</v>
      </c>
      <c r="L21" s="108"/>
      <c r="M21" s="1"/>
      <c r="N21" s="1"/>
    </row>
    <row r="22" spans="1:14" ht="14.25" customHeight="1" x14ac:dyDescent="0.25">
      <c r="A22" s="88" t="s">
        <v>86</v>
      </c>
      <c r="B22" s="89"/>
      <c r="C22" s="15"/>
      <c r="D22" s="15"/>
      <c r="E22" s="15"/>
      <c r="F22" s="16">
        <f t="shared" si="0"/>
        <v>0</v>
      </c>
      <c r="G22" s="15"/>
      <c r="H22" s="15"/>
      <c r="I22" s="15"/>
      <c r="J22" s="16">
        <f t="shared" si="1"/>
        <v>0</v>
      </c>
      <c r="K22" s="16">
        <f t="shared" si="2"/>
        <v>0</v>
      </c>
      <c r="L22" s="108"/>
      <c r="M22" s="1"/>
      <c r="N22" s="1"/>
    </row>
    <row r="23" spans="1:14" ht="14.25" customHeight="1" x14ac:dyDescent="0.3">
      <c r="A23" s="113" t="s">
        <v>5</v>
      </c>
      <c r="B23" s="115"/>
      <c r="C23" s="3">
        <v>20</v>
      </c>
      <c r="D23" s="3">
        <v>20</v>
      </c>
      <c r="E23" s="3">
        <v>40</v>
      </c>
      <c r="F23" s="3">
        <v>80</v>
      </c>
      <c r="G23" s="3">
        <v>20</v>
      </c>
      <c r="H23" s="3">
        <v>20</v>
      </c>
      <c r="I23" s="3">
        <v>40</v>
      </c>
      <c r="J23" s="3">
        <v>80</v>
      </c>
      <c r="K23" s="3">
        <v>160</v>
      </c>
      <c r="L23" s="108"/>
      <c r="M23" s="93"/>
      <c r="N23" s="94"/>
    </row>
    <row r="24" spans="1:14" ht="14.25" customHeight="1" x14ac:dyDescent="0.25">
      <c r="A24" s="88" t="s">
        <v>73</v>
      </c>
      <c r="B24" s="89"/>
      <c r="C24" s="15"/>
      <c r="D24" s="15"/>
      <c r="E24" s="15"/>
      <c r="F24" s="16">
        <f>SUM(C24:E24)</f>
        <v>0</v>
      </c>
      <c r="G24" s="15"/>
      <c r="H24" s="15"/>
      <c r="I24" s="15"/>
      <c r="J24" s="16">
        <f>SUM(G24:I24)</f>
        <v>0</v>
      </c>
      <c r="K24" s="16">
        <f>SUM(F24,J24)</f>
        <v>0</v>
      </c>
      <c r="L24" s="108"/>
      <c r="M24" s="1"/>
      <c r="N24" s="1"/>
    </row>
    <row r="25" spans="1:14" ht="14.25" customHeight="1" x14ac:dyDescent="0.25">
      <c r="A25" s="88" t="s">
        <v>74</v>
      </c>
      <c r="B25" s="89"/>
      <c r="C25" s="5"/>
      <c r="D25" s="15"/>
      <c r="E25" s="15"/>
      <c r="F25" s="16">
        <f t="shared" ref="F25:F33" si="3">SUM(C25:E25)</f>
        <v>0</v>
      </c>
      <c r="G25" s="15"/>
      <c r="H25" s="15"/>
      <c r="I25" s="15"/>
      <c r="J25" s="16">
        <f t="shared" ref="J25:J33" si="4">SUM(G25:I25)</f>
        <v>0</v>
      </c>
      <c r="K25" s="16">
        <f t="shared" ref="K25:K33" si="5">SUM(F25,J25)</f>
        <v>0</v>
      </c>
      <c r="L25" s="108"/>
      <c r="M25" s="1"/>
      <c r="N25" s="1"/>
    </row>
    <row r="26" spans="1:14" ht="14.25" customHeight="1" x14ac:dyDescent="0.25">
      <c r="A26" s="88" t="s">
        <v>75</v>
      </c>
      <c r="B26" s="89"/>
      <c r="C26" s="15"/>
      <c r="D26" s="15"/>
      <c r="E26" s="15"/>
      <c r="F26" s="16">
        <f t="shared" si="3"/>
        <v>0</v>
      </c>
      <c r="G26" s="15"/>
      <c r="H26" s="15"/>
      <c r="I26" s="15"/>
      <c r="J26" s="16">
        <f t="shared" si="4"/>
        <v>0</v>
      </c>
      <c r="K26" s="16">
        <f t="shared" si="5"/>
        <v>0</v>
      </c>
      <c r="L26" s="108"/>
      <c r="M26" s="1"/>
      <c r="N26" s="1"/>
    </row>
    <row r="27" spans="1:14" ht="14.25" customHeight="1" x14ac:dyDescent="0.25">
      <c r="A27" s="88" t="s">
        <v>76</v>
      </c>
      <c r="B27" s="89"/>
      <c r="C27" s="15"/>
      <c r="D27" s="15"/>
      <c r="E27" s="15"/>
      <c r="F27" s="16">
        <f t="shared" si="3"/>
        <v>0</v>
      </c>
      <c r="G27" s="15"/>
      <c r="H27" s="15"/>
      <c r="I27" s="15"/>
      <c r="J27" s="16">
        <f t="shared" si="4"/>
        <v>0</v>
      </c>
      <c r="K27" s="16">
        <f t="shared" si="5"/>
        <v>0</v>
      </c>
      <c r="L27" s="108"/>
      <c r="M27" s="1"/>
      <c r="N27" s="1"/>
    </row>
    <row r="28" spans="1:14" s="20" customFormat="1" ht="14.25" customHeight="1" x14ac:dyDescent="0.25">
      <c r="A28" s="88" t="s">
        <v>77</v>
      </c>
      <c r="B28" s="89"/>
      <c r="C28" s="15"/>
      <c r="D28" s="15"/>
      <c r="E28" s="15"/>
      <c r="F28" s="16">
        <f t="shared" si="3"/>
        <v>0</v>
      </c>
      <c r="G28" s="15"/>
      <c r="H28" s="15"/>
      <c r="I28" s="15"/>
      <c r="J28" s="16">
        <f t="shared" si="4"/>
        <v>0</v>
      </c>
      <c r="K28" s="16">
        <f t="shared" si="5"/>
        <v>0</v>
      </c>
      <c r="L28" s="108"/>
      <c r="M28" s="53"/>
      <c r="N28" s="45"/>
    </row>
    <row r="29" spans="1:14" s="20" customFormat="1" ht="14.25" customHeight="1" x14ac:dyDescent="0.25">
      <c r="A29" s="88" t="s">
        <v>78</v>
      </c>
      <c r="B29" s="89"/>
      <c r="C29" s="15"/>
      <c r="D29" s="15"/>
      <c r="E29" s="15"/>
      <c r="F29" s="16">
        <f t="shared" si="3"/>
        <v>0</v>
      </c>
      <c r="G29" s="15"/>
      <c r="H29" s="15"/>
      <c r="I29" s="15"/>
      <c r="J29" s="16">
        <f t="shared" si="4"/>
        <v>0</v>
      </c>
      <c r="K29" s="16">
        <f t="shared" si="5"/>
        <v>0</v>
      </c>
      <c r="L29" s="108"/>
      <c r="M29" s="53"/>
      <c r="N29" s="45"/>
    </row>
    <row r="30" spans="1:14" s="20" customFormat="1" ht="14.25" customHeight="1" x14ac:dyDescent="0.25">
      <c r="A30" s="88" t="s">
        <v>79</v>
      </c>
      <c r="B30" s="89"/>
      <c r="C30" s="15"/>
      <c r="D30" s="15"/>
      <c r="E30" s="15"/>
      <c r="F30" s="16">
        <f t="shared" si="3"/>
        <v>0</v>
      </c>
      <c r="G30" s="15"/>
      <c r="H30" s="15"/>
      <c r="I30" s="15"/>
      <c r="J30" s="16">
        <f t="shared" si="4"/>
        <v>0</v>
      </c>
      <c r="K30" s="16">
        <f t="shared" si="5"/>
        <v>0</v>
      </c>
      <c r="L30" s="108"/>
      <c r="M30" s="53"/>
      <c r="N30" s="45"/>
    </row>
    <row r="31" spans="1:14" s="20" customFormat="1" ht="14.25" customHeight="1" x14ac:dyDescent="0.25">
      <c r="A31" s="88" t="s">
        <v>80</v>
      </c>
      <c r="B31" s="89"/>
      <c r="C31" s="15"/>
      <c r="D31" s="15"/>
      <c r="E31" s="15"/>
      <c r="F31" s="16">
        <f t="shared" si="3"/>
        <v>0</v>
      </c>
      <c r="G31" s="15"/>
      <c r="H31" s="15"/>
      <c r="I31" s="15"/>
      <c r="J31" s="16">
        <f t="shared" si="4"/>
        <v>0</v>
      </c>
      <c r="K31" s="16">
        <f t="shared" si="5"/>
        <v>0</v>
      </c>
      <c r="L31" s="108"/>
      <c r="M31" s="53"/>
      <c r="N31" s="45"/>
    </row>
    <row r="32" spans="1:14" s="20" customFormat="1" ht="14.25" customHeight="1" x14ac:dyDescent="0.25">
      <c r="A32" s="88" t="s">
        <v>81</v>
      </c>
      <c r="B32" s="89"/>
      <c r="C32" s="15"/>
      <c r="D32" s="15"/>
      <c r="E32" s="15"/>
      <c r="F32" s="16">
        <f t="shared" si="3"/>
        <v>0</v>
      </c>
      <c r="G32" s="15"/>
      <c r="H32" s="15"/>
      <c r="I32" s="15"/>
      <c r="J32" s="16">
        <f t="shared" si="4"/>
        <v>0</v>
      </c>
      <c r="K32" s="16">
        <f t="shared" si="5"/>
        <v>0</v>
      </c>
      <c r="L32" s="108"/>
      <c r="M32" s="53"/>
      <c r="N32" s="45"/>
    </row>
    <row r="33" spans="1:14" s="20" customFormat="1" ht="14.25" customHeight="1" x14ac:dyDescent="0.25">
      <c r="A33" s="88" t="s">
        <v>82</v>
      </c>
      <c r="B33" s="89"/>
      <c r="C33" s="15"/>
      <c r="D33" s="15"/>
      <c r="E33" s="15"/>
      <c r="F33" s="16">
        <f t="shared" si="3"/>
        <v>0</v>
      </c>
      <c r="G33" s="15"/>
      <c r="H33" s="15"/>
      <c r="I33" s="15"/>
      <c r="J33" s="16">
        <f t="shared" si="4"/>
        <v>0</v>
      </c>
      <c r="K33" s="16">
        <f t="shared" si="5"/>
        <v>0</v>
      </c>
      <c r="L33" s="108"/>
      <c r="M33" s="53"/>
      <c r="N33" s="45"/>
    </row>
    <row r="34" spans="1:14" ht="14.25" customHeight="1" x14ac:dyDescent="0.3">
      <c r="A34" s="113" t="s">
        <v>5</v>
      </c>
      <c r="B34" s="114"/>
      <c r="C34" s="3">
        <v>40</v>
      </c>
      <c r="D34" s="3">
        <v>40</v>
      </c>
      <c r="E34" s="3">
        <v>80</v>
      </c>
      <c r="F34" s="3">
        <v>160</v>
      </c>
      <c r="G34" s="3">
        <v>40</v>
      </c>
      <c r="H34" s="3">
        <v>40</v>
      </c>
      <c r="I34" s="3">
        <v>80</v>
      </c>
      <c r="J34" s="3">
        <v>160</v>
      </c>
      <c r="K34" s="3">
        <v>320</v>
      </c>
      <c r="L34" s="108"/>
      <c r="M34" s="93"/>
      <c r="N34" s="94"/>
    </row>
    <row r="35" spans="1:14" ht="14.25" customHeight="1" x14ac:dyDescent="0.25">
      <c r="A35" s="88" t="s">
        <v>87</v>
      </c>
      <c r="B35" s="89"/>
      <c r="C35" s="15"/>
      <c r="D35" s="15"/>
      <c r="E35" s="15"/>
      <c r="F35" s="16">
        <f>SUM(C35:E35)</f>
        <v>0</v>
      </c>
      <c r="G35" s="15"/>
      <c r="H35" s="15"/>
      <c r="I35" s="15"/>
      <c r="J35" s="16">
        <f>SUM(G35:I35)</f>
        <v>0</v>
      </c>
      <c r="K35" s="16">
        <f>SUM(F35,J35)</f>
        <v>0</v>
      </c>
      <c r="L35" s="108"/>
      <c r="M35" s="1"/>
      <c r="N35" s="1"/>
    </row>
    <row r="36" spans="1:14" ht="14.25" customHeight="1" x14ac:dyDescent="0.3">
      <c r="A36" s="113" t="s">
        <v>5</v>
      </c>
      <c r="B36" s="114"/>
      <c r="C36" s="3">
        <v>50</v>
      </c>
      <c r="D36" s="3">
        <v>50</v>
      </c>
      <c r="E36" s="3">
        <v>100</v>
      </c>
      <c r="F36" s="3">
        <v>200</v>
      </c>
      <c r="G36" s="3">
        <v>50</v>
      </c>
      <c r="H36" s="3">
        <v>50</v>
      </c>
      <c r="I36" s="3">
        <v>100</v>
      </c>
      <c r="J36" s="3">
        <v>200</v>
      </c>
      <c r="K36" s="3">
        <v>400</v>
      </c>
      <c r="L36" s="108"/>
      <c r="M36" s="93"/>
      <c r="N36" s="94"/>
    </row>
    <row r="37" spans="1:14" ht="14.25" customHeight="1" x14ac:dyDescent="0.25">
      <c r="A37" s="88" t="s">
        <v>88</v>
      </c>
      <c r="B37" s="89"/>
      <c r="C37" s="15">
        <v>50</v>
      </c>
      <c r="D37" s="15">
        <v>30</v>
      </c>
      <c r="E37" s="15">
        <v>90</v>
      </c>
      <c r="F37" s="16">
        <f>SUM(C37:E37)</f>
        <v>170</v>
      </c>
      <c r="G37" s="15">
        <v>45</v>
      </c>
      <c r="H37" s="15">
        <v>48</v>
      </c>
      <c r="I37" s="15">
        <v>70</v>
      </c>
      <c r="J37" s="16">
        <f>SUM(G37:I37)</f>
        <v>163</v>
      </c>
      <c r="K37" s="16">
        <f>SUM(F37,J37)</f>
        <v>333</v>
      </c>
      <c r="L37" s="108"/>
      <c r="M37" s="1"/>
      <c r="N37" s="1"/>
    </row>
    <row r="38" spans="1:14" s="20" customFormat="1" ht="14.25" customHeight="1" x14ac:dyDescent="0.25">
      <c r="A38" s="88" t="s">
        <v>62</v>
      </c>
      <c r="B38" s="89"/>
      <c r="C38" s="15"/>
      <c r="D38" s="15"/>
      <c r="E38" s="15"/>
      <c r="F38" s="16">
        <f t="shared" ref="F38:F40" si="6">SUM(C38:E38)</f>
        <v>0</v>
      </c>
      <c r="G38" s="15"/>
      <c r="H38" s="15"/>
      <c r="I38" s="15"/>
      <c r="J38" s="16">
        <f t="shared" ref="J38:J40" si="7">SUM(G38:I38)</f>
        <v>0</v>
      </c>
      <c r="K38" s="16">
        <f t="shared" ref="K38:K40" si="8">SUM(F38,J38)</f>
        <v>0</v>
      </c>
      <c r="L38" s="108"/>
      <c r="M38" s="1"/>
      <c r="N38" s="1"/>
    </row>
    <row r="39" spans="1:14" s="20" customFormat="1" ht="14.25" customHeight="1" x14ac:dyDescent="0.25">
      <c r="A39" s="88" t="s">
        <v>71</v>
      </c>
      <c r="B39" s="89"/>
      <c r="C39" s="15"/>
      <c r="D39" s="15"/>
      <c r="E39" s="15"/>
      <c r="F39" s="16">
        <f t="shared" si="6"/>
        <v>0</v>
      </c>
      <c r="G39" s="15"/>
      <c r="H39" s="15"/>
      <c r="I39" s="15"/>
      <c r="J39" s="16">
        <f t="shared" si="7"/>
        <v>0</v>
      </c>
      <c r="K39" s="16">
        <f t="shared" si="8"/>
        <v>0</v>
      </c>
      <c r="L39" s="108"/>
      <c r="M39" s="1"/>
      <c r="N39" s="1"/>
    </row>
    <row r="40" spans="1:14" s="20" customFormat="1" ht="14.25" customHeight="1" x14ac:dyDescent="0.25">
      <c r="A40" s="88" t="s">
        <v>72</v>
      </c>
      <c r="B40" s="89"/>
      <c r="C40" s="15"/>
      <c r="D40" s="15"/>
      <c r="E40" s="15"/>
      <c r="F40" s="16">
        <f t="shared" si="6"/>
        <v>0</v>
      </c>
      <c r="G40" s="15"/>
      <c r="H40" s="15"/>
      <c r="I40" s="15"/>
      <c r="J40" s="16">
        <f t="shared" si="7"/>
        <v>0</v>
      </c>
      <c r="K40" s="16">
        <f t="shared" si="8"/>
        <v>0</v>
      </c>
      <c r="L40" s="108"/>
      <c r="M40" s="1"/>
      <c r="N40" s="1"/>
    </row>
    <row r="41" spans="1:14" ht="14.25" customHeight="1" x14ac:dyDescent="0.3">
      <c r="A41" s="113" t="s">
        <v>5</v>
      </c>
      <c r="B41" s="114"/>
      <c r="C41" s="3">
        <v>100</v>
      </c>
      <c r="D41" s="3">
        <v>100</v>
      </c>
      <c r="E41" s="51"/>
      <c r="F41" s="3">
        <v>200</v>
      </c>
      <c r="G41" s="3">
        <v>100</v>
      </c>
      <c r="H41" s="3">
        <v>100</v>
      </c>
      <c r="I41" s="52"/>
      <c r="J41" s="3">
        <v>200</v>
      </c>
      <c r="K41" s="3">
        <f>SUM(F41,J41)</f>
        <v>400</v>
      </c>
      <c r="L41" s="108"/>
      <c r="M41" s="109"/>
      <c r="N41" s="110"/>
    </row>
    <row r="42" spans="1:14" s="20" customFormat="1" ht="14.25" customHeight="1" x14ac:dyDescent="0.25">
      <c r="A42" s="88" t="s">
        <v>70</v>
      </c>
      <c r="B42" s="89"/>
      <c r="C42" s="15"/>
      <c r="D42" s="15"/>
      <c r="E42" s="52"/>
      <c r="F42" s="16">
        <f>SUM(C42:D42)</f>
        <v>0</v>
      </c>
      <c r="G42" s="15"/>
      <c r="H42" s="15"/>
      <c r="I42" s="52"/>
      <c r="J42" s="16">
        <f>SUM(G42:H42)</f>
        <v>0</v>
      </c>
      <c r="K42" s="16">
        <f>SUM(F42,J42)</f>
        <v>0</v>
      </c>
      <c r="L42" s="108"/>
      <c r="M42" s="44"/>
      <c r="N42" s="45"/>
    </row>
    <row r="43" spans="1:14" ht="15" customHeight="1" x14ac:dyDescent="0.3">
      <c r="A43" s="116" t="s">
        <v>6</v>
      </c>
      <c r="B43" s="114"/>
      <c r="C43" s="4">
        <v>360</v>
      </c>
      <c r="D43" s="4">
        <v>360</v>
      </c>
      <c r="E43" s="4">
        <v>720</v>
      </c>
      <c r="F43" s="4">
        <v>1440</v>
      </c>
      <c r="G43" s="4">
        <v>580</v>
      </c>
      <c r="H43" s="4">
        <v>360</v>
      </c>
      <c r="I43" s="4">
        <v>720</v>
      </c>
      <c r="J43" s="4">
        <v>1440</v>
      </c>
      <c r="K43" s="4">
        <v>2880</v>
      </c>
      <c r="L43" s="108"/>
      <c r="M43" s="93"/>
      <c r="N43" s="94"/>
    </row>
    <row r="44" spans="1:14" ht="15" customHeight="1" x14ac:dyDescent="0.3">
      <c r="A44" s="116" t="s">
        <v>7</v>
      </c>
      <c r="B44" s="117"/>
      <c r="C44" s="15">
        <f>SUM(C19:C22,C24:C33,C35,C37:C40,C42)</f>
        <v>50</v>
      </c>
      <c r="D44" s="15">
        <f>SUM(D19:D22,D24:D33,D35,D37:D40,D42)</f>
        <v>30</v>
      </c>
      <c r="E44" s="15">
        <f>SUM(E19:E22,E24:E33,E35,E37:E40)</f>
        <v>90</v>
      </c>
      <c r="F44" s="15">
        <f>SUM(F19:F22,F24:F33,F35,F37:F40,F42)</f>
        <v>170</v>
      </c>
      <c r="G44" s="15">
        <f>SUM(G19:G22,G24:G33,G35,G37:G40,G42)</f>
        <v>45</v>
      </c>
      <c r="H44" s="15">
        <f>SUM(H19:H22,H24:H33,H35,H37:H40,H42)</f>
        <v>48</v>
      </c>
      <c r="I44" s="15">
        <f>SUM(I19:I22,I24:I33,I35,I37:I40)</f>
        <v>70</v>
      </c>
      <c r="J44" s="15">
        <f>SUM(J19:J22,J24:J33,J35,J37:J40,J42)</f>
        <v>163</v>
      </c>
      <c r="K44" s="15">
        <f>SUM(K19:K22,K24:K33,K35,K37:K40,K42)</f>
        <v>333</v>
      </c>
      <c r="L44" s="108"/>
      <c r="M44" s="103"/>
      <c r="N44" s="104"/>
    </row>
    <row r="45" spans="1:14" ht="15" customHeight="1" x14ac:dyDescent="0.3">
      <c r="A45" s="116" t="s">
        <v>8</v>
      </c>
      <c r="B45" s="117"/>
      <c r="C45" s="15">
        <f>ROUND(((C44*100)/C43),1)</f>
        <v>13.9</v>
      </c>
      <c r="D45" s="15">
        <f t="shared" ref="D45:K45" si="9">ROUND(((D44*100)/D43),1)</f>
        <v>8.3000000000000007</v>
      </c>
      <c r="E45" s="15">
        <f>ROUND(((E44*100)/E43),1)</f>
        <v>12.5</v>
      </c>
      <c r="F45" s="15">
        <f>ROUND(((F44*100)/F43),1)</f>
        <v>11.8</v>
      </c>
      <c r="G45" s="15">
        <f t="shared" si="9"/>
        <v>7.8</v>
      </c>
      <c r="H45" s="15">
        <f t="shared" si="9"/>
        <v>13.3</v>
      </c>
      <c r="I45" s="15">
        <f>ROUND(((I44*100)/I43),1)</f>
        <v>9.6999999999999993</v>
      </c>
      <c r="J45" s="15">
        <f t="shared" si="9"/>
        <v>11.3</v>
      </c>
      <c r="K45" s="15">
        <f t="shared" si="9"/>
        <v>11.6</v>
      </c>
      <c r="L45" s="108"/>
      <c r="M45" s="111"/>
      <c r="N45" s="112"/>
    </row>
    <row r="46" spans="1:14" ht="15" customHeight="1" x14ac:dyDescent="0.25">
      <c r="A46" s="120" t="s">
        <v>9</v>
      </c>
      <c r="B46" s="121"/>
      <c r="C46" s="13">
        <v>70</v>
      </c>
      <c r="D46" s="5"/>
      <c r="E46" s="5"/>
      <c r="F46" s="5"/>
      <c r="G46" s="5"/>
      <c r="H46" s="5"/>
      <c r="I46" s="5"/>
      <c r="J46" s="5"/>
      <c r="K46" s="5"/>
      <c r="L46" s="108"/>
      <c r="M46" s="111"/>
      <c r="N46" s="112"/>
    </row>
    <row r="47" spans="1:14" ht="15" customHeight="1" x14ac:dyDescent="0.3">
      <c r="A47" s="116" t="s">
        <v>10</v>
      </c>
      <c r="B47" s="117"/>
      <c r="C47" s="5"/>
      <c r="D47" s="5"/>
      <c r="E47" s="122"/>
      <c r="F47" s="123"/>
      <c r="G47" s="5"/>
      <c r="H47" s="5"/>
      <c r="I47" s="122"/>
      <c r="J47" s="123"/>
      <c r="K47" s="126"/>
      <c r="L47" s="108"/>
      <c r="M47" s="111"/>
      <c r="N47" s="112"/>
    </row>
    <row r="48" spans="1:14" ht="15" customHeight="1" x14ac:dyDescent="0.3">
      <c r="A48" s="116" t="s">
        <v>11</v>
      </c>
      <c r="B48" s="117"/>
      <c r="C48" s="5"/>
      <c r="D48" s="5"/>
      <c r="E48" s="124"/>
      <c r="F48" s="125"/>
      <c r="G48" s="5"/>
      <c r="H48" s="5"/>
      <c r="I48" s="124"/>
      <c r="J48" s="125"/>
      <c r="K48" s="127"/>
      <c r="L48" s="108"/>
      <c r="M48" s="111"/>
      <c r="N48" s="112"/>
    </row>
    <row r="49" spans="1:14" ht="15" customHeight="1" x14ac:dyDescent="0.25">
      <c r="A49" s="118" t="s">
        <v>12</v>
      </c>
      <c r="B49" s="119"/>
      <c r="C49" s="46"/>
      <c r="D49" s="48"/>
      <c r="E49" s="48"/>
      <c r="F49" s="47"/>
      <c r="G49" s="46"/>
      <c r="H49" s="48"/>
      <c r="I49" s="48"/>
      <c r="J49" s="48"/>
      <c r="K49" s="47"/>
      <c r="L49" s="108"/>
      <c r="M49" s="111"/>
      <c r="N49" s="112"/>
    </row>
    <row r="50" spans="1:14" x14ac:dyDescent="0.2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</row>
    <row r="51" spans="1:14" x14ac:dyDescent="0.2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</row>
    <row r="52" spans="1:14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</row>
    <row r="53" spans="1:14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</row>
    <row r="56" spans="1:14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</row>
    <row r="58" spans="1:14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</row>
    <row r="59" spans="1:14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</row>
  </sheetData>
  <mergeCells count="53">
    <mergeCell ref="A49:B49"/>
    <mergeCell ref="M44:N49"/>
    <mergeCell ref="A34:B34"/>
    <mergeCell ref="A36:B36"/>
    <mergeCell ref="A43:B43"/>
    <mergeCell ref="A44:B44"/>
    <mergeCell ref="A35:B35"/>
    <mergeCell ref="A38:B38"/>
    <mergeCell ref="A37:B37"/>
    <mergeCell ref="A41:B41"/>
    <mergeCell ref="A39:B39"/>
    <mergeCell ref="A45:B45"/>
    <mergeCell ref="A46:B46"/>
    <mergeCell ref="E47:F48"/>
    <mergeCell ref="I47:K48"/>
    <mergeCell ref="M43:N43"/>
    <mergeCell ref="A29:B29"/>
    <mergeCell ref="A47:B47"/>
    <mergeCell ref="A48:B48"/>
    <mergeCell ref="A31:B31"/>
    <mergeCell ref="A32:B32"/>
    <mergeCell ref="A40:B40"/>
    <mergeCell ref="A42:B42"/>
    <mergeCell ref="A27:B27"/>
    <mergeCell ref="A25:B25"/>
    <mergeCell ref="A15:B17"/>
    <mergeCell ref="A18:B18"/>
    <mergeCell ref="A23:B23"/>
    <mergeCell ref="A19:B19"/>
    <mergeCell ref="A20:B20"/>
    <mergeCell ref="A21:B21"/>
    <mergeCell ref="A22:B22"/>
    <mergeCell ref="M23:N23"/>
    <mergeCell ref="M18:N18"/>
    <mergeCell ref="M15:N16"/>
    <mergeCell ref="L15:L49"/>
    <mergeCell ref="M41:N41"/>
    <mergeCell ref="A28:B28"/>
    <mergeCell ref="A30:B30"/>
    <mergeCell ref="A33:B33"/>
    <mergeCell ref="K15:K17"/>
    <mergeCell ref="M36:N36"/>
    <mergeCell ref="M34:N34"/>
    <mergeCell ref="G15:J15"/>
    <mergeCell ref="E16:E17"/>
    <mergeCell ref="C16:D16"/>
    <mergeCell ref="G16:H16"/>
    <mergeCell ref="I16:I17"/>
    <mergeCell ref="J16:J17"/>
    <mergeCell ref="F16:F17"/>
    <mergeCell ref="C15:F15"/>
    <mergeCell ref="A24:B24"/>
    <mergeCell ref="A26:B26"/>
  </mergeCells>
  <pageMargins left="0.19685039370078741" right="0.15625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63"/>
  <sheetViews>
    <sheetView showGridLines="0" tabSelected="1" zoomScaleNormal="100" workbookViewId="0">
      <selection activeCell="H8" sqref="H8"/>
    </sheetView>
  </sheetViews>
  <sheetFormatPr baseColWidth="10" defaultColWidth="17.28515625" defaultRowHeight="19.5" x14ac:dyDescent="0.4"/>
  <cols>
    <col min="1" max="1" width="6.42578125" style="36" customWidth="1"/>
    <col min="2" max="2" width="23" style="34" customWidth="1"/>
    <col min="3" max="3" width="24.5703125" style="35" customWidth="1"/>
    <col min="4" max="4" width="21.5703125" style="35" customWidth="1"/>
    <col min="5" max="5" width="8.140625" style="35" customWidth="1"/>
    <col min="7" max="16384" width="17.28515625" style="36"/>
  </cols>
  <sheetData>
    <row r="4" spans="1:6" ht="16.5" x14ac:dyDescent="0.3">
      <c r="A4" s="38" t="s">
        <v>14</v>
      </c>
      <c r="B4" s="38" t="s">
        <v>15</v>
      </c>
      <c r="C4" s="38" t="s">
        <v>16</v>
      </c>
      <c r="D4" s="38" t="s">
        <v>17</v>
      </c>
      <c r="E4" s="38" t="s">
        <v>18</v>
      </c>
      <c r="F4" s="39" t="s">
        <v>11</v>
      </c>
    </row>
    <row r="5" spans="1:6" ht="16.5" x14ac:dyDescent="0.3">
      <c r="A5" s="37">
        <v>1</v>
      </c>
      <c r="B5" s="37" t="s">
        <v>132</v>
      </c>
      <c r="C5" s="37" t="s">
        <v>133</v>
      </c>
      <c r="D5" s="37"/>
      <c r="E5" s="37"/>
    </row>
    <row r="6" spans="1:6" ht="16.5" x14ac:dyDescent="0.3">
      <c r="A6" s="37">
        <f>A5+1</f>
        <v>2</v>
      </c>
      <c r="B6" s="37" t="s">
        <v>134</v>
      </c>
      <c r="C6" s="37" t="s">
        <v>135</v>
      </c>
      <c r="D6" s="37"/>
      <c r="E6" s="37"/>
    </row>
    <row r="7" spans="1:6" ht="16.5" x14ac:dyDescent="0.3">
      <c r="A7" s="37">
        <f t="shared" ref="A7:A8" si="0">A6+1</f>
        <v>3</v>
      </c>
      <c r="B7" s="37" t="s">
        <v>136</v>
      </c>
      <c r="C7" s="37" t="s">
        <v>137</v>
      </c>
      <c r="D7" s="37"/>
      <c r="E7" s="37"/>
    </row>
    <row r="8" spans="1:6" ht="16.5" x14ac:dyDescent="0.3">
      <c r="A8" s="37">
        <f t="shared" si="0"/>
        <v>4</v>
      </c>
      <c r="B8" s="37" t="s">
        <v>138</v>
      </c>
      <c r="C8" s="37" t="s">
        <v>139</v>
      </c>
      <c r="D8" s="37"/>
      <c r="E8" s="37"/>
    </row>
    <row r="9" spans="1:6" ht="16.5" x14ac:dyDescent="0.3">
      <c r="A9" s="37">
        <f t="shared" ref="A9:A63" si="1">A8+1</f>
        <v>5</v>
      </c>
      <c r="B9" s="37" t="s">
        <v>140</v>
      </c>
      <c r="C9" s="37" t="s">
        <v>52</v>
      </c>
      <c r="D9" s="37"/>
      <c r="E9" s="37"/>
    </row>
    <row r="10" spans="1:6" ht="16.5" x14ac:dyDescent="0.3">
      <c r="A10" s="37">
        <f t="shared" si="1"/>
        <v>6</v>
      </c>
      <c r="B10" s="37" t="s">
        <v>43</v>
      </c>
      <c r="C10" s="37" t="s">
        <v>141</v>
      </c>
      <c r="D10" s="37"/>
      <c r="E10" s="37"/>
    </row>
    <row r="11" spans="1:6" ht="16.5" x14ac:dyDescent="0.3">
      <c r="A11" s="37">
        <f t="shared" si="1"/>
        <v>7</v>
      </c>
      <c r="B11" s="37" t="s">
        <v>142</v>
      </c>
      <c r="C11" s="37" t="s">
        <v>143</v>
      </c>
      <c r="D11" s="37"/>
      <c r="E11" s="37"/>
    </row>
    <row r="12" spans="1:6" ht="16.5" x14ac:dyDescent="0.3">
      <c r="A12" s="37">
        <f t="shared" si="1"/>
        <v>8</v>
      </c>
      <c r="B12" s="37" t="s">
        <v>144</v>
      </c>
      <c r="C12" s="37" t="s">
        <v>145</v>
      </c>
      <c r="D12" s="37"/>
      <c r="E12" s="37"/>
    </row>
    <row r="13" spans="1:6" ht="16.5" x14ac:dyDescent="0.3">
      <c r="A13" s="37">
        <f t="shared" si="1"/>
        <v>9</v>
      </c>
      <c r="B13" s="37" t="s">
        <v>146</v>
      </c>
      <c r="C13" s="37" t="s">
        <v>147</v>
      </c>
      <c r="D13" s="37"/>
      <c r="E13" s="37"/>
    </row>
    <row r="14" spans="1:6" ht="16.5" x14ac:dyDescent="0.3">
      <c r="A14" s="37">
        <f t="shared" si="1"/>
        <v>10</v>
      </c>
      <c r="B14" s="37" t="s">
        <v>148</v>
      </c>
      <c r="C14" s="37" t="s">
        <v>45</v>
      </c>
      <c r="D14" s="37"/>
      <c r="E14" s="37"/>
    </row>
    <row r="15" spans="1:6" ht="16.5" x14ac:dyDescent="0.3">
      <c r="A15" s="37">
        <f t="shared" si="1"/>
        <v>11</v>
      </c>
      <c r="B15" s="37" t="s">
        <v>149</v>
      </c>
      <c r="C15" s="37" t="s">
        <v>150</v>
      </c>
      <c r="D15" s="37"/>
      <c r="E15" s="37"/>
    </row>
    <row r="16" spans="1:6" ht="16.5" x14ac:dyDescent="0.3">
      <c r="A16" s="37">
        <f t="shared" si="1"/>
        <v>12</v>
      </c>
      <c r="B16" s="37" t="s">
        <v>44</v>
      </c>
      <c r="C16" s="37" t="s">
        <v>26</v>
      </c>
      <c r="D16" s="37"/>
      <c r="E16" s="37"/>
    </row>
    <row r="17" spans="1:6" ht="16.5" x14ac:dyDescent="0.3">
      <c r="A17" s="37">
        <f t="shared" si="1"/>
        <v>13</v>
      </c>
      <c r="B17" s="37" t="s">
        <v>151</v>
      </c>
      <c r="C17" s="37" t="s">
        <v>152</v>
      </c>
      <c r="D17" s="37"/>
      <c r="E17" s="37"/>
    </row>
    <row r="18" spans="1:6" ht="16.5" x14ac:dyDescent="0.3">
      <c r="A18" s="37">
        <f t="shared" si="1"/>
        <v>14</v>
      </c>
      <c r="B18" s="37" t="s">
        <v>153</v>
      </c>
      <c r="C18" s="37" t="s">
        <v>57</v>
      </c>
      <c r="D18" s="37"/>
      <c r="E18" s="37"/>
    </row>
    <row r="19" spans="1:6" ht="16.5" x14ac:dyDescent="0.3">
      <c r="A19" s="37">
        <f t="shared" si="1"/>
        <v>15</v>
      </c>
      <c r="B19" s="37" t="s">
        <v>154</v>
      </c>
      <c r="C19" s="37" t="s">
        <v>53</v>
      </c>
      <c r="D19" s="37"/>
      <c r="E19" s="37"/>
    </row>
    <row r="20" spans="1:6" ht="16.5" x14ac:dyDescent="0.3">
      <c r="A20" s="37">
        <f t="shared" si="1"/>
        <v>16</v>
      </c>
      <c r="B20" s="37" t="s">
        <v>154</v>
      </c>
      <c r="C20" s="37" t="s">
        <v>155</v>
      </c>
      <c r="D20" s="37"/>
      <c r="E20" s="37"/>
    </row>
    <row r="21" spans="1:6" ht="16.5" x14ac:dyDescent="0.3">
      <c r="A21" s="37">
        <f t="shared" si="1"/>
        <v>17</v>
      </c>
      <c r="B21" s="37" t="s">
        <v>156</v>
      </c>
      <c r="C21" s="37" t="s">
        <v>157</v>
      </c>
      <c r="D21" s="37"/>
      <c r="E21" s="37"/>
    </row>
    <row r="22" spans="1:6" ht="16.5" x14ac:dyDescent="0.3">
      <c r="A22" s="37">
        <f t="shared" si="1"/>
        <v>18</v>
      </c>
      <c r="B22" s="37" t="s">
        <v>158</v>
      </c>
      <c r="C22" s="37" t="s">
        <v>47</v>
      </c>
      <c r="D22" s="37"/>
      <c r="E22" s="37"/>
    </row>
    <row r="23" spans="1:6" ht="16.5" x14ac:dyDescent="0.3">
      <c r="A23" s="37">
        <f t="shared" si="1"/>
        <v>19</v>
      </c>
      <c r="B23" s="37" t="s">
        <v>159</v>
      </c>
      <c r="C23" s="37" t="s">
        <v>160</v>
      </c>
      <c r="D23" s="37"/>
      <c r="E23" s="37"/>
    </row>
    <row r="24" spans="1:6" ht="16.5" x14ac:dyDescent="0.3">
      <c r="A24" s="37">
        <f t="shared" si="1"/>
        <v>20</v>
      </c>
      <c r="B24" s="37" t="s">
        <v>161</v>
      </c>
      <c r="C24" s="37" t="s">
        <v>162</v>
      </c>
      <c r="D24" s="37"/>
      <c r="E24" s="37"/>
    </row>
    <row r="25" spans="1:6" ht="16.5" x14ac:dyDescent="0.3">
      <c r="A25" s="37">
        <f t="shared" si="1"/>
        <v>21</v>
      </c>
      <c r="B25" s="37" t="s">
        <v>50</v>
      </c>
      <c r="C25" s="37" t="s">
        <v>163</v>
      </c>
      <c r="D25" s="37"/>
      <c r="E25" s="37"/>
    </row>
    <row r="26" spans="1:6" ht="16.5" x14ac:dyDescent="0.3">
      <c r="A26" s="37">
        <f t="shared" si="1"/>
        <v>22</v>
      </c>
      <c r="B26" s="37" t="s">
        <v>164</v>
      </c>
      <c r="C26" s="37" t="s">
        <v>165</v>
      </c>
      <c r="D26" s="37"/>
      <c r="E26" s="37"/>
    </row>
    <row r="27" spans="1:6" ht="16.5" x14ac:dyDescent="0.3">
      <c r="A27" s="37">
        <f t="shared" si="1"/>
        <v>23</v>
      </c>
      <c r="B27" s="37" t="s">
        <v>166</v>
      </c>
      <c r="C27" s="37" t="s">
        <v>167</v>
      </c>
      <c r="D27" s="37"/>
      <c r="E27" s="37"/>
    </row>
    <row r="28" spans="1:6" ht="16.5" x14ac:dyDescent="0.3">
      <c r="A28" s="37">
        <f t="shared" si="1"/>
        <v>24</v>
      </c>
      <c r="B28" s="37" t="s">
        <v>168</v>
      </c>
      <c r="C28" s="37" t="s">
        <v>169</v>
      </c>
      <c r="D28" s="37"/>
      <c r="E28" s="37"/>
    </row>
    <row r="29" spans="1:6" ht="16.5" x14ac:dyDescent="0.3">
      <c r="A29" s="37">
        <f t="shared" si="1"/>
        <v>25</v>
      </c>
      <c r="B29" s="37" t="s">
        <v>170</v>
      </c>
      <c r="C29" s="37" t="s">
        <v>48</v>
      </c>
      <c r="D29" s="37"/>
      <c r="E29" s="37"/>
    </row>
    <row r="30" spans="1:6" ht="16.5" x14ac:dyDescent="0.3">
      <c r="A30" s="37">
        <f t="shared" si="1"/>
        <v>26</v>
      </c>
      <c r="B30" s="37" t="s">
        <v>51</v>
      </c>
      <c r="C30" s="37" t="s">
        <v>171</v>
      </c>
      <c r="D30" s="37"/>
      <c r="E30" s="37"/>
    </row>
    <row r="31" spans="1:6" ht="16.5" x14ac:dyDescent="0.3">
      <c r="A31" s="37">
        <f t="shared" si="1"/>
        <v>27</v>
      </c>
      <c r="B31" s="37" t="s">
        <v>172</v>
      </c>
      <c r="C31" s="37" t="s">
        <v>55</v>
      </c>
      <c r="D31" s="37"/>
      <c r="E31" s="37"/>
    </row>
    <row r="32" spans="1:6" ht="16.5" x14ac:dyDescent="0.3">
      <c r="A32" s="37">
        <f t="shared" si="1"/>
        <v>28</v>
      </c>
      <c r="B32" s="37" t="s">
        <v>173</v>
      </c>
      <c r="C32" s="37" t="s">
        <v>174</v>
      </c>
      <c r="D32" s="37"/>
      <c r="E32" s="37"/>
    </row>
    <row r="33" spans="1:5" ht="16.5" x14ac:dyDescent="0.3">
      <c r="A33" s="37">
        <f t="shared" si="1"/>
        <v>29</v>
      </c>
      <c r="B33" s="37" t="s">
        <v>175</v>
      </c>
      <c r="C33" s="37" t="s">
        <v>176</v>
      </c>
      <c r="D33" s="37"/>
      <c r="E33" s="37"/>
    </row>
    <row r="34" spans="1:5" ht="16.5" x14ac:dyDescent="0.3">
      <c r="A34" s="37">
        <f t="shared" si="1"/>
        <v>30</v>
      </c>
      <c r="B34" s="37" t="s">
        <v>177</v>
      </c>
      <c r="C34" s="37" t="s">
        <v>151</v>
      </c>
      <c r="D34" s="37"/>
      <c r="E34" s="37"/>
    </row>
    <row r="35" spans="1:5" ht="16.5" x14ac:dyDescent="0.3">
      <c r="A35" s="37">
        <f t="shared" si="1"/>
        <v>31</v>
      </c>
      <c r="B35" s="37" t="s">
        <v>178</v>
      </c>
      <c r="C35" s="37" t="s">
        <v>58</v>
      </c>
      <c r="D35" s="37"/>
      <c r="E35" s="37"/>
    </row>
    <row r="36" spans="1:5" ht="16.5" x14ac:dyDescent="0.3">
      <c r="A36" s="37">
        <f t="shared" si="1"/>
        <v>32</v>
      </c>
      <c r="B36" s="37" t="s">
        <v>179</v>
      </c>
      <c r="C36" s="37" t="s">
        <v>180</v>
      </c>
      <c r="D36" s="37"/>
      <c r="E36" s="37"/>
    </row>
    <row r="37" spans="1:5" ht="16.5" x14ac:dyDescent="0.3">
      <c r="A37" s="37">
        <f t="shared" si="1"/>
        <v>33</v>
      </c>
      <c r="B37" s="37" t="s">
        <v>181</v>
      </c>
      <c r="C37" s="37" t="s">
        <v>182</v>
      </c>
      <c r="D37" s="37"/>
      <c r="E37" s="37"/>
    </row>
    <row r="38" spans="1:5" ht="16.5" x14ac:dyDescent="0.3">
      <c r="A38" s="37">
        <f t="shared" si="1"/>
        <v>34</v>
      </c>
      <c r="B38" s="37" t="s">
        <v>183</v>
      </c>
      <c r="C38" s="37" t="s">
        <v>56</v>
      </c>
      <c r="D38" s="37"/>
      <c r="E38" s="37"/>
    </row>
    <row r="39" spans="1:5" ht="16.5" x14ac:dyDescent="0.3">
      <c r="A39" s="37">
        <f t="shared" si="1"/>
        <v>35</v>
      </c>
      <c r="B39" s="37" t="s">
        <v>184</v>
      </c>
      <c r="C39" s="37" t="s">
        <v>48</v>
      </c>
      <c r="D39" s="37"/>
      <c r="E39" s="37"/>
    </row>
    <row r="40" spans="1:5" ht="16.5" x14ac:dyDescent="0.3">
      <c r="A40" s="37">
        <f t="shared" si="1"/>
        <v>36</v>
      </c>
      <c r="B40" s="37" t="s">
        <v>185</v>
      </c>
      <c r="C40" s="37" t="s">
        <v>186</v>
      </c>
      <c r="D40" s="37"/>
      <c r="E40" s="37"/>
    </row>
    <row r="41" spans="1:5" ht="16.5" x14ac:dyDescent="0.3">
      <c r="A41" s="37">
        <f t="shared" si="1"/>
        <v>37</v>
      </c>
      <c r="B41" s="37" t="s">
        <v>187</v>
      </c>
      <c r="C41" s="37" t="s">
        <v>188</v>
      </c>
      <c r="D41" s="37"/>
      <c r="E41" s="37"/>
    </row>
    <row r="42" spans="1:5" ht="16.5" x14ac:dyDescent="0.3">
      <c r="A42" s="37">
        <f t="shared" si="1"/>
        <v>38</v>
      </c>
      <c r="B42" s="37" t="s">
        <v>189</v>
      </c>
      <c r="C42" s="37" t="s">
        <v>190</v>
      </c>
      <c r="D42" s="37"/>
      <c r="E42" s="37"/>
    </row>
    <row r="43" spans="1:5" ht="16.5" x14ac:dyDescent="0.3">
      <c r="A43" s="37">
        <f t="shared" si="1"/>
        <v>39</v>
      </c>
      <c r="B43" s="37" t="s">
        <v>60</v>
      </c>
      <c r="C43" s="37" t="s">
        <v>191</v>
      </c>
      <c r="D43" s="37"/>
      <c r="E43" s="37"/>
    </row>
    <row r="44" spans="1:5" ht="16.5" x14ac:dyDescent="0.3">
      <c r="A44" s="37">
        <f t="shared" si="1"/>
        <v>40</v>
      </c>
      <c r="B44" s="37" t="s">
        <v>192</v>
      </c>
      <c r="C44" s="37" t="s">
        <v>193</v>
      </c>
      <c r="D44" s="37"/>
      <c r="E44" s="37"/>
    </row>
    <row r="45" spans="1:5" ht="16.5" x14ac:dyDescent="0.3">
      <c r="A45" s="37">
        <f t="shared" si="1"/>
        <v>41</v>
      </c>
      <c r="B45" s="37" t="s">
        <v>194</v>
      </c>
      <c r="C45" s="37" t="s">
        <v>195</v>
      </c>
      <c r="D45" s="37"/>
      <c r="E45" s="37"/>
    </row>
    <row r="46" spans="1:5" ht="16.5" x14ac:dyDescent="0.3">
      <c r="A46" s="37">
        <f t="shared" si="1"/>
        <v>42</v>
      </c>
      <c r="B46" s="37" t="s">
        <v>196</v>
      </c>
      <c r="C46" s="37" t="s">
        <v>46</v>
      </c>
      <c r="D46" s="37"/>
      <c r="E46" s="37"/>
    </row>
    <row r="47" spans="1:5" ht="16.5" x14ac:dyDescent="0.3">
      <c r="A47" s="37">
        <f t="shared" si="1"/>
        <v>43</v>
      </c>
      <c r="B47" s="37" t="s">
        <v>197</v>
      </c>
      <c r="C47" s="37" t="s">
        <v>198</v>
      </c>
      <c r="D47" s="37"/>
      <c r="E47" s="37"/>
    </row>
    <row r="48" spans="1:5" ht="16.5" x14ac:dyDescent="0.3">
      <c r="A48" s="37">
        <f t="shared" si="1"/>
        <v>44</v>
      </c>
      <c r="B48" s="37" t="s">
        <v>199</v>
      </c>
      <c r="C48" s="37" t="s">
        <v>200</v>
      </c>
      <c r="D48" s="37"/>
      <c r="E48" s="37"/>
    </row>
    <row r="49" spans="1:5" ht="16.5" x14ac:dyDescent="0.3">
      <c r="A49" s="37">
        <f t="shared" si="1"/>
        <v>45</v>
      </c>
      <c r="B49" s="37" t="s">
        <v>201</v>
      </c>
      <c r="C49" s="37" t="s">
        <v>202</v>
      </c>
      <c r="D49" s="37"/>
      <c r="E49" s="37"/>
    </row>
    <row r="50" spans="1:5" ht="16.5" x14ac:dyDescent="0.3">
      <c r="A50" s="37">
        <f t="shared" si="1"/>
        <v>46</v>
      </c>
      <c r="B50" s="37" t="s">
        <v>203</v>
      </c>
      <c r="C50" s="37" t="s">
        <v>204</v>
      </c>
      <c r="D50" s="37"/>
      <c r="E50" s="37"/>
    </row>
    <row r="51" spans="1:5" ht="16.5" x14ac:dyDescent="0.3">
      <c r="A51" s="37">
        <f t="shared" si="1"/>
        <v>47</v>
      </c>
      <c r="B51" s="37" t="s">
        <v>205</v>
      </c>
      <c r="C51" s="37" t="s">
        <v>206</v>
      </c>
      <c r="D51" s="37"/>
      <c r="E51" s="37"/>
    </row>
    <row r="52" spans="1:5" ht="16.5" x14ac:dyDescent="0.3">
      <c r="A52" s="37">
        <f t="shared" si="1"/>
        <v>48</v>
      </c>
      <c r="B52" s="37" t="s">
        <v>207</v>
      </c>
      <c r="C52" s="37" t="s">
        <v>208</v>
      </c>
      <c r="D52" s="37"/>
      <c r="E52" s="37"/>
    </row>
    <row r="53" spans="1:5" ht="16.5" x14ac:dyDescent="0.3">
      <c r="A53" s="37">
        <f t="shared" si="1"/>
        <v>49</v>
      </c>
      <c r="B53" s="37" t="s">
        <v>209</v>
      </c>
      <c r="C53" s="37" t="s">
        <v>210</v>
      </c>
      <c r="D53" s="37"/>
      <c r="E53" s="37"/>
    </row>
    <row r="54" spans="1:5" ht="16.5" x14ac:dyDescent="0.3">
      <c r="A54" s="37">
        <f t="shared" si="1"/>
        <v>50</v>
      </c>
      <c r="B54" s="37" t="s">
        <v>211</v>
      </c>
      <c r="C54" s="37" t="s">
        <v>212</v>
      </c>
      <c r="D54" s="37"/>
      <c r="E54" s="37"/>
    </row>
    <row r="55" spans="1:5" ht="16.5" x14ac:dyDescent="0.3">
      <c r="A55" s="37">
        <f t="shared" si="1"/>
        <v>51</v>
      </c>
      <c r="B55" s="37" t="s">
        <v>213</v>
      </c>
      <c r="C55" s="37" t="s">
        <v>214</v>
      </c>
      <c r="D55" s="37"/>
      <c r="E55" s="37"/>
    </row>
    <row r="56" spans="1:5" ht="16.5" x14ac:dyDescent="0.3">
      <c r="A56" s="37">
        <f t="shared" si="1"/>
        <v>52</v>
      </c>
      <c r="B56" s="37" t="s">
        <v>215</v>
      </c>
      <c r="C56" s="37" t="s">
        <v>216</v>
      </c>
      <c r="D56" s="37"/>
      <c r="E56" s="37"/>
    </row>
    <row r="57" spans="1:5" ht="16.5" x14ac:dyDescent="0.3">
      <c r="A57" s="37">
        <f t="shared" si="1"/>
        <v>53</v>
      </c>
      <c r="B57" s="37" t="s">
        <v>217</v>
      </c>
      <c r="C57" s="37" t="s">
        <v>54</v>
      </c>
      <c r="D57" s="37"/>
      <c r="E57" s="37"/>
    </row>
    <row r="58" spans="1:5" ht="16.5" x14ac:dyDescent="0.3">
      <c r="A58" s="37">
        <f t="shared" si="1"/>
        <v>54</v>
      </c>
      <c r="B58" s="37" t="s">
        <v>218</v>
      </c>
      <c r="C58" s="37" t="s">
        <v>49</v>
      </c>
      <c r="D58" s="37"/>
      <c r="E58" s="37"/>
    </row>
    <row r="59" spans="1:5" ht="16.5" x14ac:dyDescent="0.3">
      <c r="A59" s="37">
        <f t="shared" si="1"/>
        <v>55</v>
      </c>
      <c r="B59" s="37" t="s">
        <v>219</v>
      </c>
      <c r="C59" s="37" t="s">
        <v>220</v>
      </c>
      <c r="D59" s="37"/>
      <c r="E59" s="37"/>
    </row>
    <row r="60" spans="1:5" ht="16.5" x14ac:dyDescent="0.3">
      <c r="A60" s="37">
        <f t="shared" si="1"/>
        <v>56</v>
      </c>
      <c r="B60" s="37" t="s">
        <v>59</v>
      </c>
      <c r="C60" s="37" t="s">
        <v>221</v>
      </c>
      <c r="D60" s="37"/>
      <c r="E60" s="37"/>
    </row>
    <row r="61" spans="1:5" ht="16.5" x14ac:dyDescent="0.3">
      <c r="A61" s="37">
        <f t="shared" si="1"/>
        <v>57</v>
      </c>
      <c r="B61" s="37" t="s">
        <v>222</v>
      </c>
      <c r="C61" s="37" t="s">
        <v>223</v>
      </c>
      <c r="D61" s="37"/>
      <c r="E61" s="37"/>
    </row>
    <row r="62" spans="1:5" ht="16.5" x14ac:dyDescent="0.3">
      <c r="A62" s="37">
        <f t="shared" si="1"/>
        <v>58</v>
      </c>
      <c r="B62" s="37" t="s">
        <v>224</v>
      </c>
      <c r="C62" s="37" t="s">
        <v>225</v>
      </c>
      <c r="D62" s="37"/>
      <c r="E62" s="37"/>
    </row>
    <row r="63" spans="1:5" ht="16.5" x14ac:dyDescent="0.3">
      <c r="A63" s="37">
        <f t="shared" si="1"/>
        <v>59</v>
      </c>
      <c r="B63" s="37" t="s">
        <v>226</v>
      </c>
      <c r="C63" s="37" t="s">
        <v>227</v>
      </c>
      <c r="D63" s="37"/>
      <c r="E63" s="37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showWhiteSpace="0" view="pageLayout" zoomScaleNormal="100" workbookViewId="0">
      <selection activeCell="B14" sqref="B14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28" t="s">
        <v>27</v>
      </c>
      <c r="B2" s="128"/>
    </row>
    <row r="4" spans="1:3" ht="21" customHeight="1" x14ac:dyDescent="0.25">
      <c r="A4" s="18"/>
      <c r="B4" s="19"/>
    </row>
    <row r="5" spans="1:3" ht="15.75" thickBot="1" x14ac:dyDescent="0.3"/>
    <row r="6" spans="1:3" ht="31.5" customHeight="1" thickTop="1" x14ac:dyDescent="0.3">
      <c r="A6" s="21" t="s">
        <v>20</v>
      </c>
      <c r="B6" s="29" t="s">
        <v>132</v>
      </c>
    </row>
    <row r="7" spans="1:3" x14ac:dyDescent="0.25">
      <c r="A7" s="22"/>
      <c r="B7" s="23"/>
    </row>
    <row r="8" spans="1:3" ht="30" customHeight="1" x14ac:dyDescent="0.3">
      <c r="A8" s="24" t="s">
        <v>19</v>
      </c>
      <c r="B8" s="30" t="str">
        <f>IFERROR(VLOOKUP(B6,BD!B5:E63,2,FALSE),"aucune valeur trouvée pour cette donnée")</f>
        <v>KOSO</v>
      </c>
    </row>
    <row r="9" spans="1:3" x14ac:dyDescent="0.25">
      <c r="A9" s="22"/>
      <c r="B9" s="23"/>
    </row>
    <row r="10" spans="1:3" ht="28.5" customHeight="1" x14ac:dyDescent="0.3">
      <c r="A10" s="24" t="s">
        <v>17</v>
      </c>
      <c r="B10" s="30">
        <f>IFERROR(VLOOKUP(B6,BD!B5:E63,3,FALSE),"aucune valeur trouvée pour cette donnée")</f>
        <v>0</v>
      </c>
      <c r="C10" s="43"/>
    </row>
    <row r="11" spans="1:3" x14ac:dyDescent="0.25">
      <c r="A11" s="22"/>
      <c r="B11" s="23"/>
    </row>
    <row r="12" spans="1:3" ht="23.25" customHeight="1" x14ac:dyDescent="0.3">
      <c r="A12" s="24" t="s">
        <v>18</v>
      </c>
      <c r="B12" s="31">
        <f>IFERROR(VLOOKUP(B6,BD!B5:E63,4,FALSE),"aucune valeur trouvée pour cette donnée")</f>
        <v>0</v>
      </c>
    </row>
    <row r="13" spans="1:3" x14ac:dyDescent="0.25">
      <c r="A13" s="22"/>
      <c r="B13" s="23"/>
    </row>
    <row r="14" spans="1:3" s="20" customFormat="1" ht="21" customHeight="1" x14ac:dyDescent="0.3">
      <c r="A14" s="25" t="s">
        <v>22</v>
      </c>
      <c r="B14" s="33">
        <v>12.5</v>
      </c>
    </row>
    <row r="15" spans="1:3" ht="15.75" thickBot="1" x14ac:dyDescent="0.3">
      <c r="A15" s="26"/>
      <c r="B15" s="27"/>
    </row>
    <row r="16" spans="1:3" ht="15.75" thickTop="1" x14ac:dyDescent="0.25">
      <c r="A16" s="28"/>
      <c r="B16" s="28"/>
    </row>
    <row r="17" spans="1:2" s="20" customFormat="1" ht="14.25" customHeight="1" x14ac:dyDescent="0.25">
      <c r="A17" s="28"/>
      <c r="B17" s="28"/>
    </row>
    <row r="18" spans="1:2" s="20" customFormat="1" hidden="1" x14ac:dyDescent="0.25">
      <c r="A18" s="28"/>
      <c r="B18" s="28"/>
    </row>
    <row r="19" spans="1:2" s="20" customFormat="1" ht="6" customHeight="1" x14ac:dyDescent="0.25">
      <c r="A19" s="28"/>
      <c r="B19" s="28"/>
    </row>
  </sheetData>
  <mergeCells count="1">
    <mergeCell ref="A2:B2"/>
  </mergeCells>
  <conditionalFormatting sqref="B14">
    <cfRule type="cellIs" dxfId="26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BD!$B$5:$B$63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3"/>
  <sheetViews>
    <sheetView showZeros="0" view="pageLayout" zoomScaleNormal="100" workbookViewId="0">
      <selection activeCell="E5" sqref="E5"/>
    </sheetView>
  </sheetViews>
  <sheetFormatPr baseColWidth="10" defaultRowHeight="15.75" x14ac:dyDescent="0.25"/>
  <cols>
    <col min="1" max="1" width="26.7109375" style="17" customWidth="1"/>
    <col min="2" max="2" width="26" style="17" customWidth="1"/>
    <col min="3" max="3" width="16.42578125" style="17" customWidth="1"/>
    <col min="4" max="4" width="6.7109375" style="17" customWidth="1"/>
    <col min="5" max="5" width="8" style="40" customWidth="1"/>
    <col min="6" max="6" width="12.140625" style="17" customWidth="1"/>
    <col min="7" max="7" width="6.140625" style="12" customWidth="1"/>
    <col min="8" max="8" width="15.7109375" style="12" customWidth="1"/>
    <col min="9" max="9" width="7.140625" style="12" customWidth="1"/>
    <col min="10" max="10" width="10.140625" style="12" customWidth="1"/>
    <col min="11" max="11" width="6" style="12" customWidth="1"/>
    <col min="12" max="16384" width="11.42578125" style="12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30" t="s">
        <v>28</v>
      </c>
      <c r="B3" s="131"/>
      <c r="C3" s="131"/>
      <c r="D3" s="131"/>
      <c r="E3" s="131"/>
      <c r="F3" s="131"/>
      <c r="G3" s="70"/>
      <c r="H3" s="71">
        <f>SUMIF(Tableau1[SEXE],"m",Tableau1[%])</f>
        <v>7.3</v>
      </c>
      <c r="I3" s="71">
        <f>SUMIF(Tableau1[SEXE],"f",Tableau1[%])</f>
        <v>0</v>
      </c>
      <c r="J3" s="71"/>
      <c r="K3" s="72"/>
    </row>
    <row r="4" spans="1:11" x14ac:dyDescent="0.25">
      <c r="A4" s="12" t="s">
        <v>20</v>
      </c>
      <c r="B4" s="12" t="s">
        <v>16</v>
      </c>
      <c r="C4" s="12" t="s">
        <v>17</v>
      </c>
      <c r="D4" s="12" t="s">
        <v>18</v>
      </c>
      <c r="E4" s="41" t="s">
        <v>22</v>
      </c>
      <c r="F4" s="73" t="s">
        <v>21</v>
      </c>
      <c r="G4" s="74"/>
      <c r="H4" s="129" t="s">
        <v>120</v>
      </c>
      <c r="I4" s="129"/>
      <c r="J4" s="129"/>
      <c r="K4" s="73"/>
    </row>
    <row r="5" spans="1:11" ht="21" x14ac:dyDescent="0.35">
      <c r="A5" s="12" t="s">
        <v>132</v>
      </c>
      <c r="B5" s="12" t="s">
        <v>133</v>
      </c>
      <c r="C5" s="12">
        <v>0</v>
      </c>
      <c r="D5" s="12">
        <v>0</v>
      </c>
      <c r="E5" s="41">
        <v>12.5</v>
      </c>
      <c r="F5" s="75">
        <f>RANK(Tableau1[[#This Row],[%]],Tableau1[%],0)</f>
        <v>1</v>
      </c>
      <c r="G5" s="74"/>
      <c r="H5" s="70" t="s">
        <v>121</v>
      </c>
      <c r="I5" s="76">
        <f>COUNTIFS(Tableau1[SEXE],"M",Tableau1[%],"&gt;=50")</f>
        <v>0</v>
      </c>
      <c r="J5" s="72"/>
      <c r="K5" s="73"/>
    </row>
    <row r="6" spans="1:11" ht="15.75" customHeight="1" x14ac:dyDescent="0.35">
      <c r="A6" s="12" t="s">
        <v>41</v>
      </c>
      <c r="B6" s="12" t="s">
        <v>42</v>
      </c>
      <c r="C6" s="12">
        <v>0</v>
      </c>
      <c r="D6" s="12" t="s">
        <v>23</v>
      </c>
      <c r="E6" s="41">
        <v>7.3</v>
      </c>
      <c r="F6" s="75">
        <f>RANK(Tableau1[[#This Row],[%]],Tableau1[%],0)</f>
        <v>2</v>
      </c>
      <c r="G6" s="74"/>
      <c r="H6" s="77" t="s">
        <v>122</v>
      </c>
      <c r="I6" s="78">
        <f>COUNTIFS(Tableau1[SEXE],"F",Tableau1[%],"&gt;=50")</f>
        <v>0</v>
      </c>
      <c r="J6" s="79"/>
      <c r="K6" s="73"/>
    </row>
    <row r="7" spans="1:11" ht="17.25" customHeight="1" x14ac:dyDescent="0.25">
      <c r="A7" s="20"/>
      <c r="B7" s="20"/>
      <c r="C7" s="20"/>
      <c r="D7" s="20"/>
      <c r="E7" s="14"/>
      <c r="F7" s="20"/>
      <c r="G7" s="74"/>
      <c r="H7" s="80"/>
      <c r="I7" s="80"/>
      <c r="J7" s="80"/>
      <c r="K7" s="73"/>
    </row>
    <row r="8" spans="1:11" ht="16.5" customHeight="1" x14ac:dyDescent="0.25">
      <c r="A8" s="20"/>
      <c r="B8" s="20"/>
      <c r="C8" s="20"/>
      <c r="D8" s="20"/>
      <c r="E8" s="14"/>
      <c r="F8" s="20"/>
      <c r="G8" s="74"/>
      <c r="H8" s="129" t="s">
        <v>123</v>
      </c>
      <c r="I8" s="129"/>
      <c r="J8" s="129"/>
      <c r="K8" s="73"/>
    </row>
    <row r="9" spans="1:11" ht="16.5" customHeight="1" x14ac:dyDescent="0.35">
      <c r="A9" s="12"/>
      <c r="B9" s="12"/>
      <c r="C9" s="12"/>
      <c r="D9" s="12"/>
      <c r="E9" s="41"/>
      <c r="F9" s="12"/>
      <c r="G9" s="74"/>
      <c r="H9" s="70" t="s">
        <v>121</v>
      </c>
      <c r="I9" s="76">
        <f>COUNTIFS(Tableau1[SEXE],"M",Tableau1[%],"&lt;=49,9")</f>
        <v>1</v>
      </c>
      <c r="J9" s="72"/>
      <c r="K9" s="73"/>
    </row>
    <row r="10" spans="1:11" ht="16.5" customHeight="1" x14ac:dyDescent="0.35">
      <c r="A10" s="12"/>
      <c r="B10" s="12"/>
      <c r="D10" s="12"/>
      <c r="E10" s="41"/>
      <c r="F10" s="12"/>
      <c r="G10" s="74"/>
      <c r="H10" s="77" t="s">
        <v>122</v>
      </c>
      <c r="I10" s="78">
        <f>COUNTIFS(Tableau1[SEXE],"F",Tableau1[%],"&lt;=49,9")</f>
        <v>0</v>
      </c>
      <c r="J10" s="79"/>
      <c r="K10" s="73"/>
    </row>
    <row r="11" spans="1:11" ht="16.5" customHeight="1" x14ac:dyDescent="0.25">
      <c r="A11" s="12"/>
      <c r="B11" s="12"/>
      <c r="C11" s="12"/>
      <c r="D11" s="12"/>
      <c r="E11" s="41"/>
      <c r="F11" s="12"/>
      <c r="G11" s="74"/>
      <c r="H11" s="80"/>
      <c r="I11" s="80"/>
      <c r="J11" s="80"/>
      <c r="K11" s="73"/>
    </row>
    <row r="12" spans="1:11" ht="16.5" customHeight="1" x14ac:dyDescent="0.25">
      <c r="A12" s="12"/>
      <c r="B12" s="12"/>
      <c r="C12" s="12"/>
      <c r="D12" s="12"/>
      <c r="E12" s="41"/>
      <c r="F12" s="12"/>
      <c r="G12" s="74"/>
      <c r="H12" s="129" t="s">
        <v>124</v>
      </c>
      <c r="I12" s="129"/>
      <c r="J12" s="129"/>
      <c r="K12" s="73"/>
    </row>
    <row r="13" spans="1:11" ht="16.5" customHeight="1" x14ac:dyDescent="0.35">
      <c r="A13" s="12"/>
      <c r="B13" s="12"/>
      <c r="C13" s="12"/>
      <c r="D13" s="12"/>
      <c r="E13" s="41"/>
      <c r="F13" s="12"/>
      <c r="G13" s="74"/>
      <c r="H13" s="70" t="s">
        <v>121</v>
      </c>
      <c r="I13" s="81">
        <f>AVERAGE(H3/(I5+I9))</f>
        <v>7.3</v>
      </c>
      <c r="J13" s="72"/>
      <c r="K13" s="73"/>
    </row>
    <row r="14" spans="1:11" ht="15.75" customHeight="1" x14ac:dyDescent="0.35">
      <c r="A14" s="12"/>
      <c r="B14" s="12"/>
      <c r="C14" s="12"/>
      <c r="D14" s="12"/>
      <c r="E14" s="41"/>
      <c r="F14" s="12"/>
      <c r="G14" s="74"/>
      <c r="H14" s="77" t="s">
        <v>122</v>
      </c>
      <c r="I14" s="78" t="e">
        <f>AVERAGE(I3/(I6+I10))</f>
        <v>#DIV/0!</v>
      </c>
      <c r="J14" s="79"/>
      <c r="K14" s="73"/>
    </row>
    <row r="15" spans="1:11" ht="15.75" customHeight="1" x14ac:dyDescent="0.35">
      <c r="A15" s="12"/>
      <c r="B15" s="12"/>
      <c r="C15" s="12"/>
      <c r="D15" s="12"/>
      <c r="E15" s="41"/>
      <c r="F15" s="12"/>
      <c r="G15" s="74"/>
      <c r="H15" s="80"/>
      <c r="I15" s="82"/>
      <c r="J15" s="80"/>
      <c r="K15" s="73"/>
    </row>
    <row r="16" spans="1:11" ht="15.75" customHeight="1" x14ac:dyDescent="0.25">
      <c r="A16" s="12"/>
      <c r="B16" s="12"/>
      <c r="C16" s="12"/>
      <c r="D16" s="12"/>
      <c r="E16" s="41"/>
      <c r="F16" s="12"/>
      <c r="G16" s="74"/>
      <c r="H16" s="129" t="s">
        <v>125</v>
      </c>
      <c r="I16" s="129"/>
      <c r="J16" s="129"/>
      <c r="K16" s="73"/>
    </row>
    <row r="17" spans="1:11" ht="15.75" customHeight="1" x14ac:dyDescent="0.35">
      <c r="A17" s="12"/>
      <c r="B17" s="12"/>
      <c r="C17" s="12"/>
      <c r="D17" s="12"/>
      <c r="E17" s="41"/>
      <c r="F17" s="12"/>
      <c r="G17" s="74"/>
      <c r="H17" s="83" t="s">
        <v>126</v>
      </c>
      <c r="I17" s="84">
        <f>AVERAGE(Tableau1[%])</f>
        <v>9.9</v>
      </c>
      <c r="J17" s="85"/>
      <c r="K17" s="73"/>
    </row>
    <row r="18" spans="1:11" ht="16.5" customHeight="1" x14ac:dyDescent="0.25">
      <c r="A18" s="12"/>
      <c r="B18" s="12"/>
      <c r="C18" s="12"/>
      <c r="D18" s="12"/>
      <c r="E18" s="41"/>
      <c r="F18" s="12"/>
      <c r="G18" s="77"/>
      <c r="H18" s="86"/>
      <c r="I18" s="86"/>
      <c r="J18" s="86"/>
      <c r="K18" s="79"/>
    </row>
    <row r="19" spans="1:11" ht="16.5" customHeight="1" x14ac:dyDescent="0.25">
      <c r="A19" s="12"/>
      <c r="B19" s="12"/>
      <c r="C19" s="12"/>
      <c r="D19" s="12"/>
      <c r="E19" s="41"/>
      <c r="F19" s="12"/>
      <c r="G19" s="87"/>
    </row>
    <row r="20" spans="1:11" ht="16.5" customHeight="1" x14ac:dyDescent="0.25">
      <c r="A20" s="12"/>
      <c r="B20" s="12"/>
      <c r="C20" s="12"/>
      <c r="D20" s="12"/>
      <c r="E20" s="41"/>
      <c r="F20" s="12"/>
      <c r="G20" s="80"/>
    </row>
    <row r="21" spans="1:11" ht="16.5" customHeight="1" x14ac:dyDescent="0.25">
      <c r="A21" s="12"/>
      <c r="B21" s="12"/>
      <c r="C21" s="12"/>
      <c r="D21" s="12"/>
      <c r="E21" s="41"/>
      <c r="F21" s="12"/>
    </row>
    <row r="22" spans="1:11" x14ac:dyDescent="0.25">
      <c r="A22" s="12"/>
      <c r="B22" s="12"/>
      <c r="C22" s="12"/>
      <c r="D22" s="12"/>
      <c r="E22" s="41"/>
      <c r="F22" s="12"/>
    </row>
    <row r="23" spans="1:11" x14ac:dyDescent="0.25">
      <c r="A23" s="12"/>
      <c r="B23" s="12"/>
      <c r="C23" s="12"/>
      <c r="D23" s="12"/>
      <c r="E23" s="41"/>
      <c r="F23" s="12"/>
    </row>
    <row r="24" spans="1:11" ht="15.75" customHeight="1" x14ac:dyDescent="0.25">
      <c r="A24" s="12"/>
      <c r="B24" s="12"/>
      <c r="C24" s="12"/>
      <c r="D24" s="12"/>
      <c r="E24" s="41"/>
      <c r="F24" s="12"/>
    </row>
    <row r="25" spans="1:11" x14ac:dyDescent="0.25">
      <c r="A25" s="12"/>
      <c r="B25" s="12"/>
      <c r="C25" s="12"/>
      <c r="D25" s="12"/>
      <c r="E25" s="41"/>
      <c r="F25" s="12"/>
    </row>
    <row r="26" spans="1:11" x14ac:dyDescent="0.25">
      <c r="A26" s="12"/>
      <c r="B26" s="12"/>
      <c r="C26" s="12"/>
      <c r="D26" s="12"/>
      <c r="E26" s="41"/>
      <c r="F26" s="12"/>
    </row>
    <row r="27" spans="1:11" x14ac:dyDescent="0.25">
      <c r="A27" s="12"/>
      <c r="B27" s="12"/>
      <c r="C27" s="12"/>
      <c r="D27" s="12"/>
      <c r="E27" s="41"/>
      <c r="F27" s="12"/>
    </row>
    <row r="28" spans="1:11" ht="15.75" customHeight="1" x14ac:dyDescent="0.25">
      <c r="A28" s="12"/>
      <c r="B28" s="12"/>
      <c r="C28" s="12"/>
      <c r="D28" s="12"/>
      <c r="E28" s="41"/>
      <c r="F28" s="12"/>
    </row>
    <row r="29" spans="1:11" ht="15.75" customHeight="1" x14ac:dyDescent="0.25">
      <c r="A29" s="12"/>
      <c r="B29" s="12"/>
      <c r="C29" s="12"/>
      <c r="D29" s="12"/>
      <c r="E29" s="41"/>
      <c r="F29" s="12"/>
    </row>
    <row r="30" spans="1:11" ht="15.75" customHeight="1" x14ac:dyDescent="0.25">
      <c r="A30" s="12"/>
      <c r="B30" s="12"/>
      <c r="C30" s="12"/>
      <c r="D30" s="12"/>
      <c r="E30" s="41"/>
      <c r="F30" s="12"/>
    </row>
    <row r="31" spans="1:11" ht="15.75" customHeight="1" x14ac:dyDescent="0.25">
      <c r="A31" s="12"/>
      <c r="B31" s="12"/>
      <c r="C31" s="12"/>
      <c r="D31" s="12"/>
      <c r="E31" s="41"/>
      <c r="F31" s="12"/>
    </row>
    <row r="32" spans="1:11" ht="15.75" customHeight="1" x14ac:dyDescent="0.25">
      <c r="A32" s="12"/>
      <c r="B32" s="12"/>
      <c r="C32" s="12"/>
      <c r="D32" s="12"/>
      <c r="E32" s="41"/>
      <c r="F32" s="12"/>
    </row>
    <row r="33" spans="1:6" ht="15.75" customHeight="1" x14ac:dyDescent="0.25">
      <c r="A33" s="12"/>
      <c r="B33" s="12"/>
      <c r="C33" s="12"/>
      <c r="D33" s="12"/>
      <c r="E33" s="41"/>
      <c r="F33" s="12"/>
    </row>
    <row r="34" spans="1:6" ht="15.75" customHeight="1" x14ac:dyDescent="0.25">
      <c r="A34" s="12"/>
      <c r="B34" s="12"/>
      <c r="C34" s="12"/>
      <c r="D34" s="12"/>
      <c r="E34" s="41"/>
      <c r="F34" s="12"/>
    </row>
    <row r="35" spans="1:6" ht="15.75" customHeight="1" x14ac:dyDescent="0.25">
      <c r="A35" s="12"/>
      <c r="B35" s="12"/>
      <c r="C35" s="12"/>
      <c r="D35" s="12"/>
      <c r="E35" s="41"/>
      <c r="F35" s="12"/>
    </row>
    <row r="36" spans="1:6" ht="15.75" customHeight="1" x14ac:dyDescent="0.25">
      <c r="A36" s="12"/>
      <c r="B36" s="12"/>
      <c r="C36" s="12"/>
      <c r="D36" s="12"/>
      <c r="E36" s="41"/>
      <c r="F36" s="12"/>
    </row>
    <row r="37" spans="1:6" ht="15.75" customHeight="1" x14ac:dyDescent="0.25">
      <c r="A37" s="12"/>
      <c r="B37" s="12"/>
      <c r="C37" s="12"/>
      <c r="D37" s="12"/>
      <c r="E37" s="41"/>
      <c r="F37" s="12"/>
    </row>
    <row r="38" spans="1:6" ht="15.75" customHeight="1" x14ac:dyDescent="0.25">
      <c r="A38" s="12"/>
      <c r="B38" s="12"/>
      <c r="C38" s="12"/>
      <c r="D38" s="12"/>
      <c r="E38" s="41"/>
      <c r="F38" s="12"/>
    </row>
    <row r="39" spans="1:6" ht="15.75" customHeight="1" x14ac:dyDescent="0.25">
      <c r="A39" s="12"/>
      <c r="B39" s="12"/>
      <c r="C39" s="12"/>
      <c r="D39" s="12"/>
      <c r="E39" s="41"/>
      <c r="F39" s="12"/>
    </row>
    <row r="40" spans="1:6" ht="15.75" customHeight="1" x14ac:dyDescent="0.25">
      <c r="A40" s="12"/>
      <c r="B40" s="12"/>
      <c r="C40" s="12"/>
      <c r="D40" s="12"/>
      <c r="E40" s="41"/>
      <c r="F40" s="12"/>
    </row>
    <row r="41" spans="1:6" x14ac:dyDescent="0.25">
      <c r="A41" s="12"/>
      <c r="B41" s="12"/>
      <c r="C41" s="12"/>
      <c r="D41" s="12"/>
      <c r="E41" s="41"/>
      <c r="F41" s="12"/>
    </row>
    <row r="42" spans="1:6" x14ac:dyDescent="0.25">
      <c r="A42" s="12"/>
      <c r="B42" s="12"/>
      <c r="C42" s="12"/>
      <c r="D42" s="12"/>
      <c r="E42" s="41"/>
      <c r="F42" s="12"/>
    </row>
    <row r="43" spans="1:6" x14ac:dyDescent="0.25">
      <c r="A43" s="12"/>
      <c r="B43" s="12"/>
      <c r="C43" s="12"/>
      <c r="D43" s="12"/>
      <c r="E43" s="41"/>
      <c r="F43" s="12"/>
    </row>
    <row r="44" spans="1:6" x14ac:dyDescent="0.25">
      <c r="A44" s="12"/>
      <c r="B44" s="12"/>
      <c r="C44" s="12"/>
      <c r="D44" s="12"/>
      <c r="E44" s="41"/>
      <c r="F44" s="12"/>
    </row>
    <row r="45" spans="1:6" x14ac:dyDescent="0.25">
      <c r="A45" s="12"/>
      <c r="B45" s="12"/>
      <c r="C45" s="12"/>
      <c r="D45" s="12"/>
      <c r="E45" s="41"/>
      <c r="F45" s="12"/>
    </row>
    <row r="46" spans="1:6" x14ac:dyDescent="0.25">
      <c r="A46" s="12"/>
      <c r="B46" s="12"/>
      <c r="C46" s="12"/>
      <c r="D46" s="12"/>
      <c r="E46" s="41"/>
      <c r="F46" s="12"/>
    </row>
    <row r="47" spans="1:6" x14ac:dyDescent="0.25">
      <c r="A47" s="12"/>
      <c r="B47" s="12"/>
      <c r="C47" s="12"/>
      <c r="D47" s="12"/>
      <c r="E47" s="41"/>
      <c r="F47" s="12"/>
    </row>
    <row r="48" spans="1:6" x14ac:dyDescent="0.25">
      <c r="A48" s="12"/>
      <c r="B48" s="12"/>
      <c r="C48" s="12"/>
      <c r="D48" s="12"/>
      <c r="E48" s="41"/>
      <c r="F48" s="12"/>
    </row>
    <row r="49" spans="1:6" x14ac:dyDescent="0.25">
      <c r="A49" s="12"/>
      <c r="B49" s="12"/>
      <c r="C49" s="12"/>
      <c r="D49" s="12"/>
      <c r="E49" s="41"/>
      <c r="F49" s="12"/>
    </row>
    <row r="50" spans="1:6" x14ac:dyDescent="0.25">
      <c r="A50" s="12"/>
      <c r="B50" s="12"/>
      <c r="C50" s="12"/>
      <c r="D50" s="12"/>
      <c r="E50" s="41"/>
      <c r="F50" s="12"/>
    </row>
    <row r="51" spans="1:6" x14ac:dyDescent="0.25">
      <c r="A51" s="12"/>
      <c r="B51" s="12"/>
      <c r="C51" s="12"/>
      <c r="D51" s="12"/>
      <c r="E51" s="41"/>
      <c r="F51" s="12"/>
    </row>
    <row r="52" spans="1:6" x14ac:dyDescent="0.25">
      <c r="A52" s="12"/>
      <c r="B52" s="12"/>
      <c r="C52" s="12"/>
      <c r="D52" s="12"/>
      <c r="E52" s="41"/>
      <c r="F52" s="12"/>
    </row>
    <row r="53" spans="1:6" x14ac:dyDescent="0.25">
      <c r="A53" s="12"/>
      <c r="B53" s="12"/>
      <c r="C53" s="12"/>
      <c r="D53" s="12"/>
      <c r="E53" s="41"/>
      <c r="F53" s="12"/>
    </row>
    <row r="54" spans="1:6" x14ac:dyDescent="0.25">
      <c r="A54" s="12"/>
      <c r="B54" s="12"/>
      <c r="C54" s="12"/>
      <c r="D54" s="12"/>
      <c r="E54" s="41"/>
      <c r="F54" s="12"/>
    </row>
    <row r="55" spans="1:6" x14ac:dyDescent="0.25">
      <c r="A55" s="12"/>
      <c r="B55" s="12"/>
      <c r="C55" s="12"/>
      <c r="D55" s="12"/>
      <c r="E55" s="41"/>
      <c r="F55" s="12"/>
    </row>
    <row r="56" spans="1:6" x14ac:dyDescent="0.25">
      <c r="A56" s="12"/>
      <c r="B56" s="12"/>
      <c r="C56" s="12"/>
      <c r="D56" s="12"/>
      <c r="E56" s="41"/>
      <c r="F56" s="12"/>
    </row>
    <row r="57" spans="1:6" x14ac:dyDescent="0.25">
      <c r="A57" s="12"/>
      <c r="B57" s="12"/>
      <c r="C57" s="12"/>
      <c r="D57" s="12"/>
      <c r="E57" s="41"/>
      <c r="F57" s="12"/>
    </row>
    <row r="58" spans="1:6" x14ac:dyDescent="0.25">
      <c r="A58" s="12"/>
      <c r="B58" s="12"/>
      <c r="C58" s="12"/>
      <c r="D58" s="12"/>
      <c r="E58" s="41"/>
      <c r="F58" s="12"/>
    </row>
    <row r="59" spans="1:6" x14ac:dyDescent="0.25">
      <c r="A59" s="12"/>
      <c r="B59" s="12"/>
      <c r="C59" s="12"/>
      <c r="D59" s="12"/>
      <c r="E59" s="41"/>
      <c r="F59" s="12"/>
    </row>
    <row r="60" spans="1:6" x14ac:dyDescent="0.25">
      <c r="A60" s="12"/>
      <c r="B60" s="12"/>
      <c r="C60" s="12"/>
      <c r="D60" s="12"/>
      <c r="E60" s="41"/>
      <c r="F60" s="12"/>
    </row>
    <row r="61" spans="1:6" x14ac:dyDescent="0.25">
      <c r="A61" s="12"/>
      <c r="B61" s="12"/>
      <c r="C61" s="12"/>
      <c r="D61" s="12"/>
      <c r="E61" s="41"/>
      <c r="F61" s="12"/>
    </row>
    <row r="62" spans="1:6" x14ac:dyDescent="0.25">
      <c r="A62" s="12"/>
      <c r="B62" s="12"/>
      <c r="C62" s="12"/>
      <c r="D62" s="12"/>
      <c r="E62" s="41"/>
      <c r="F62" s="12"/>
    </row>
    <row r="63" spans="1:6" x14ac:dyDescent="0.25">
      <c r="A63" s="12"/>
      <c r="B63" s="12"/>
      <c r="C63" s="12"/>
      <c r="D63" s="12"/>
      <c r="E63" s="41"/>
      <c r="F63" s="12"/>
    </row>
    <row r="64" spans="1:6" x14ac:dyDescent="0.25">
      <c r="A64" s="12"/>
      <c r="B64" s="12"/>
      <c r="C64" s="12"/>
      <c r="D64" s="12"/>
      <c r="E64" s="41"/>
      <c r="F64" s="12"/>
    </row>
    <row r="65" spans="1:6" x14ac:dyDescent="0.25">
      <c r="A65" s="12"/>
      <c r="B65" s="12"/>
      <c r="C65" s="12"/>
      <c r="D65" s="12"/>
      <c r="E65" s="41"/>
      <c r="F65" s="12"/>
    </row>
    <row r="66" spans="1:6" x14ac:dyDescent="0.25">
      <c r="A66" s="12"/>
      <c r="B66" s="12"/>
      <c r="C66" s="12"/>
      <c r="D66" s="12"/>
      <c r="E66" s="41"/>
      <c r="F66" s="12"/>
    </row>
    <row r="67" spans="1:6" x14ac:dyDescent="0.25">
      <c r="A67" s="12"/>
      <c r="B67" s="12"/>
      <c r="C67" s="12"/>
      <c r="D67" s="12"/>
      <c r="E67" s="41"/>
      <c r="F67" s="12"/>
    </row>
    <row r="68" spans="1:6" x14ac:dyDescent="0.25">
      <c r="A68" s="12"/>
      <c r="B68" s="12"/>
      <c r="C68" s="12"/>
      <c r="D68" s="12"/>
      <c r="E68" s="41"/>
      <c r="F68" s="12"/>
    </row>
    <row r="69" spans="1:6" x14ac:dyDescent="0.25">
      <c r="A69" s="12"/>
      <c r="B69" s="12"/>
      <c r="C69" s="12"/>
      <c r="D69" s="12"/>
      <c r="E69" s="41"/>
      <c r="F69" s="12"/>
    </row>
    <row r="70" spans="1:6" x14ac:dyDescent="0.25">
      <c r="A70" s="12"/>
      <c r="B70" s="12"/>
      <c r="C70" s="12"/>
      <c r="D70" s="12"/>
      <c r="E70" s="41"/>
      <c r="F70" s="12"/>
    </row>
    <row r="71" spans="1:6" x14ac:dyDescent="0.25">
      <c r="A71" s="12"/>
      <c r="B71" s="12"/>
      <c r="C71" s="12"/>
      <c r="D71" s="12"/>
      <c r="E71" s="41"/>
      <c r="F71" s="12"/>
    </row>
    <row r="72" spans="1:6" x14ac:dyDescent="0.25">
      <c r="A72" s="12"/>
      <c r="B72" s="12"/>
      <c r="C72" s="12"/>
      <c r="D72" s="12"/>
      <c r="E72" s="41"/>
      <c r="F72" s="12"/>
    </row>
    <row r="73" spans="1:6" x14ac:dyDescent="0.25">
      <c r="A73" s="12"/>
      <c r="B73" s="12"/>
      <c r="C73" s="12"/>
      <c r="D73" s="12"/>
      <c r="E73" s="41"/>
      <c r="F73" s="12"/>
    </row>
    <row r="74" spans="1:6" x14ac:dyDescent="0.25">
      <c r="A74" s="12"/>
      <c r="B74" s="12"/>
      <c r="C74" s="12"/>
      <c r="D74" s="12"/>
      <c r="E74" s="41"/>
      <c r="F74" s="12"/>
    </row>
    <row r="75" spans="1:6" x14ac:dyDescent="0.25">
      <c r="A75" s="12"/>
      <c r="B75" s="12"/>
      <c r="C75" s="12"/>
      <c r="D75" s="12"/>
      <c r="E75" s="41"/>
      <c r="F75" s="12"/>
    </row>
    <row r="76" spans="1:6" x14ac:dyDescent="0.25">
      <c r="A76" s="12"/>
      <c r="B76" s="12"/>
      <c r="C76" s="12"/>
      <c r="D76" s="12"/>
      <c r="E76" s="41"/>
      <c r="F76" s="12"/>
    </row>
    <row r="77" spans="1:6" x14ac:dyDescent="0.25">
      <c r="A77" s="12"/>
      <c r="B77" s="12"/>
      <c r="C77" s="12"/>
      <c r="D77" s="12"/>
      <c r="E77" s="41"/>
      <c r="F77" s="12"/>
    </row>
    <row r="78" spans="1:6" x14ac:dyDescent="0.25">
      <c r="A78" s="12"/>
      <c r="B78" s="12"/>
      <c r="C78" s="12"/>
      <c r="D78" s="12"/>
      <c r="E78" s="41"/>
      <c r="F78" s="12"/>
    </row>
    <row r="79" spans="1:6" x14ac:dyDescent="0.25">
      <c r="A79" s="12"/>
      <c r="B79" s="12"/>
      <c r="C79" s="12"/>
      <c r="D79" s="12"/>
      <c r="E79" s="41"/>
      <c r="F79" s="12"/>
    </row>
    <row r="80" spans="1:6" x14ac:dyDescent="0.25">
      <c r="A80" s="12"/>
      <c r="B80" s="12"/>
      <c r="C80" s="12"/>
      <c r="D80" s="12"/>
      <c r="E80" s="41"/>
      <c r="F80" s="12"/>
    </row>
    <row r="81" spans="1:6" x14ac:dyDescent="0.25">
      <c r="A81" s="12"/>
      <c r="B81" s="12"/>
      <c r="C81" s="12"/>
      <c r="D81" s="12"/>
      <c r="E81" s="41"/>
      <c r="F81" s="12"/>
    </row>
    <row r="82" spans="1:6" x14ac:dyDescent="0.25">
      <c r="A82" s="12"/>
      <c r="B82" s="12"/>
      <c r="C82" s="12"/>
      <c r="D82" s="12"/>
      <c r="E82" s="41"/>
      <c r="F82" s="12"/>
    </row>
    <row r="83" spans="1:6" x14ac:dyDescent="0.25">
      <c r="A83" s="12"/>
      <c r="B83" s="12"/>
      <c r="C83" s="12"/>
      <c r="D83" s="12"/>
      <c r="E83" s="41"/>
      <c r="F83" s="12"/>
    </row>
    <row r="84" spans="1:6" x14ac:dyDescent="0.25">
      <c r="A84" s="12"/>
      <c r="B84" s="12"/>
      <c r="C84" s="12"/>
      <c r="D84" s="12"/>
      <c r="E84" s="41"/>
      <c r="F84" s="12"/>
    </row>
    <row r="85" spans="1:6" x14ac:dyDescent="0.25">
      <c r="A85" s="12"/>
      <c r="B85" s="12"/>
      <c r="C85" s="12"/>
      <c r="D85" s="12"/>
      <c r="E85" s="41"/>
      <c r="F85" s="12"/>
    </row>
    <row r="86" spans="1:6" x14ac:dyDescent="0.25">
      <c r="A86" s="12"/>
      <c r="B86" s="12"/>
      <c r="C86" s="12"/>
      <c r="D86" s="12"/>
      <c r="E86" s="41"/>
      <c r="F86" s="12"/>
    </row>
    <row r="87" spans="1:6" x14ac:dyDescent="0.25">
      <c r="A87" s="12"/>
      <c r="B87" s="12"/>
      <c r="C87" s="12"/>
      <c r="D87" s="12"/>
      <c r="E87" s="41"/>
      <c r="F87" s="12"/>
    </row>
    <row r="88" spans="1:6" x14ac:dyDescent="0.25">
      <c r="A88" s="12"/>
      <c r="B88" s="12"/>
      <c r="C88" s="12"/>
      <c r="D88" s="12"/>
      <c r="E88" s="41"/>
      <c r="F88" s="12"/>
    </row>
    <row r="89" spans="1:6" x14ac:dyDescent="0.25">
      <c r="A89" s="12"/>
      <c r="B89" s="12"/>
      <c r="C89" s="12"/>
      <c r="D89" s="12"/>
      <c r="E89" s="41"/>
      <c r="F89" s="12"/>
    </row>
    <row r="90" spans="1:6" x14ac:dyDescent="0.25">
      <c r="A90" s="12"/>
      <c r="B90" s="12"/>
      <c r="C90" s="12"/>
      <c r="D90" s="12"/>
      <c r="E90" s="41"/>
      <c r="F90" s="12"/>
    </row>
    <row r="91" spans="1:6" x14ac:dyDescent="0.25">
      <c r="A91" s="12"/>
      <c r="B91" s="12"/>
      <c r="C91" s="12"/>
      <c r="D91" s="12"/>
      <c r="E91" s="41"/>
      <c r="F91" s="12"/>
    </row>
    <row r="92" spans="1:6" x14ac:dyDescent="0.25">
      <c r="A92" s="12"/>
      <c r="B92" s="12"/>
      <c r="C92" s="12"/>
      <c r="D92" s="12"/>
      <c r="E92" s="41"/>
      <c r="F92" s="12"/>
    </row>
    <row r="93" spans="1:6" x14ac:dyDescent="0.25">
      <c r="A93" s="12"/>
      <c r="B93" s="12"/>
      <c r="C93" s="12"/>
      <c r="D93" s="12"/>
      <c r="E93" s="41"/>
      <c r="F93" s="12"/>
    </row>
    <row r="94" spans="1:6" x14ac:dyDescent="0.25">
      <c r="A94" s="12"/>
      <c r="B94" s="12"/>
      <c r="C94" s="12"/>
      <c r="D94" s="12"/>
      <c r="E94" s="41"/>
      <c r="F94" s="12"/>
    </row>
    <row r="95" spans="1:6" x14ac:dyDescent="0.25">
      <c r="A95" s="12"/>
      <c r="B95" s="12"/>
      <c r="C95" s="12"/>
      <c r="D95" s="12"/>
      <c r="E95" s="41"/>
      <c r="F95" s="12"/>
    </row>
    <row r="96" spans="1:6" x14ac:dyDescent="0.25">
      <c r="A96" s="12"/>
      <c r="B96" s="12"/>
      <c r="C96" s="12"/>
      <c r="D96" s="12"/>
      <c r="E96" s="41"/>
      <c r="F96" s="12"/>
    </row>
    <row r="97" spans="1:6" x14ac:dyDescent="0.25">
      <c r="A97" s="12"/>
      <c r="B97" s="12"/>
      <c r="C97" s="12"/>
      <c r="D97" s="12"/>
      <c r="E97" s="41"/>
      <c r="F97" s="12"/>
    </row>
    <row r="98" spans="1:6" x14ac:dyDescent="0.25">
      <c r="A98" s="12"/>
      <c r="B98" s="12"/>
      <c r="C98" s="12"/>
      <c r="D98" s="12"/>
      <c r="E98" s="41"/>
      <c r="F98" s="12"/>
    </row>
    <row r="99" spans="1:6" x14ac:dyDescent="0.25">
      <c r="A99" s="12"/>
      <c r="B99" s="12"/>
      <c r="C99" s="12"/>
      <c r="D99" s="12"/>
      <c r="E99" s="41"/>
      <c r="F99" s="12"/>
    </row>
    <row r="100" spans="1:6" x14ac:dyDescent="0.25">
      <c r="A100" s="12"/>
      <c r="B100" s="12"/>
      <c r="C100" s="12"/>
      <c r="D100" s="12"/>
      <c r="E100" s="41"/>
      <c r="F100" s="12"/>
    </row>
    <row r="101" spans="1:6" x14ac:dyDescent="0.25">
      <c r="A101" s="12"/>
      <c r="B101" s="12"/>
      <c r="C101" s="12"/>
      <c r="D101" s="12"/>
      <c r="E101" s="41"/>
      <c r="F101" s="12"/>
    </row>
    <row r="102" spans="1:6" x14ac:dyDescent="0.25">
      <c r="A102" s="12"/>
      <c r="B102" s="12"/>
      <c r="C102" s="12"/>
      <c r="D102" s="12"/>
      <c r="E102" s="41"/>
      <c r="F102" s="12"/>
    </row>
    <row r="103" spans="1:6" x14ac:dyDescent="0.25">
      <c r="A103" s="12"/>
      <c r="B103" s="12"/>
      <c r="C103" s="12"/>
      <c r="D103" s="12"/>
      <c r="E103" s="41"/>
      <c r="F103" s="12"/>
    </row>
    <row r="104" spans="1:6" x14ac:dyDescent="0.25">
      <c r="A104" s="12"/>
      <c r="B104" s="12"/>
      <c r="C104" s="12"/>
      <c r="D104" s="12"/>
      <c r="E104" s="41"/>
      <c r="F104" s="12"/>
    </row>
    <row r="105" spans="1:6" x14ac:dyDescent="0.25">
      <c r="A105" s="12"/>
      <c r="B105" s="12"/>
      <c r="C105" s="12"/>
      <c r="D105" s="12"/>
      <c r="E105" s="41"/>
      <c r="F105" s="12"/>
    </row>
    <row r="106" spans="1:6" x14ac:dyDescent="0.25">
      <c r="A106" s="12"/>
      <c r="B106" s="12"/>
      <c r="C106" s="12"/>
      <c r="D106" s="12"/>
      <c r="E106" s="41"/>
      <c r="F106" s="12"/>
    </row>
    <row r="107" spans="1:6" x14ac:dyDescent="0.25">
      <c r="A107" s="12"/>
      <c r="B107" s="12"/>
      <c r="C107" s="12"/>
      <c r="D107" s="12"/>
      <c r="E107" s="41"/>
      <c r="F107" s="12"/>
    </row>
    <row r="108" spans="1:6" x14ac:dyDescent="0.25">
      <c r="A108" s="12"/>
      <c r="B108" s="12"/>
      <c r="C108" s="12"/>
      <c r="D108" s="12"/>
      <c r="E108" s="41"/>
      <c r="F108" s="12"/>
    </row>
    <row r="109" spans="1:6" x14ac:dyDescent="0.25">
      <c r="A109" s="12"/>
      <c r="B109" s="12"/>
      <c r="C109" s="12"/>
      <c r="D109" s="12"/>
      <c r="E109" s="41"/>
      <c r="F109" s="12"/>
    </row>
    <row r="110" spans="1:6" x14ac:dyDescent="0.25">
      <c r="A110" s="12"/>
      <c r="B110" s="12"/>
      <c r="C110" s="12"/>
      <c r="D110" s="12"/>
      <c r="E110" s="41"/>
      <c r="F110" s="12"/>
    </row>
    <row r="111" spans="1:6" x14ac:dyDescent="0.25">
      <c r="A111" s="12"/>
      <c r="B111" s="12"/>
      <c r="C111" s="12"/>
      <c r="D111" s="12"/>
      <c r="E111" s="41"/>
      <c r="F111" s="12"/>
    </row>
    <row r="112" spans="1:6" x14ac:dyDescent="0.25">
      <c r="A112" s="12"/>
      <c r="B112" s="12"/>
      <c r="C112" s="12"/>
      <c r="D112" s="12"/>
      <c r="E112" s="41"/>
      <c r="F112" s="12"/>
    </row>
    <row r="113" spans="1:6" x14ac:dyDescent="0.25">
      <c r="A113" s="12"/>
      <c r="B113" s="12"/>
      <c r="C113" s="12"/>
      <c r="D113" s="12"/>
      <c r="E113" s="41"/>
      <c r="F113" s="12"/>
    </row>
    <row r="114" spans="1:6" x14ac:dyDescent="0.25">
      <c r="A114" s="12"/>
      <c r="B114" s="12"/>
      <c r="C114" s="12"/>
      <c r="D114" s="12"/>
      <c r="E114" s="41"/>
      <c r="F114" s="12"/>
    </row>
    <row r="115" spans="1:6" x14ac:dyDescent="0.25">
      <c r="A115" s="12"/>
      <c r="B115" s="12"/>
      <c r="C115" s="12"/>
      <c r="D115" s="12"/>
      <c r="E115" s="41"/>
      <c r="F115" s="12"/>
    </row>
    <row r="116" spans="1:6" x14ac:dyDescent="0.25">
      <c r="A116" s="12"/>
      <c r="B116" s="12"/>
      <c r="C116" s="12"/>
      <c r="D116" s="12"/>
      <c r="E116" s="41"/>
      <c r="F116" s="12"/>
    </row>
    <row r="117" spans="1:6" x14ac:dyDescent="0.25">
      <c r="A117" s="12"/>
      <c r="B117" s="12"/>
      <c r="C117" s="12"/>
      <c r="D117" s="12"/>
      <c r="E117" s="41"/>
      <c r="F117" s="12"/>
    </row>
    <row r="118" spans="1:6" x14ac:dyDescent="0.25">
      <c r="A118" s="12"/>
      <c r="B118" s="12"/>
      <c r="C118" s="12"/>
      <c r="D118" s="12"/>
      <c r="E118" s="41"/>
      <c r="F118" s="12"/>
    </row>
    <row r="119" spans="1:6" x14ac:dyDescent="0.25">
      <c r="A119" s="12"/>
      <c r="B119" s="12"/>
      <c r="C119" s="12"/>
      <c r="D119" s="12"/>
      <c r="E119" s="41"/>
      <c r="F119" s="12"/>
    </row>
    <row r="120" spans="1:6" x14ac:dyDescent="0.25">
      <c r="A120" s="12"/>
      <c r="B120" s="12"/>
      <c r="C120" s="12"/>
      <c r="D120" s="12"/>
      <c r="E120" s="41"/>
      <c r="F120" s="12"/>
    </row>
    <row r="121" spans="1:6" x14ac:dyDescent="0.25">
      <c r="A121" s="12"/>
      <c r="B121" s="12"/>
      <c r="C121" s="12"/>
      <c r="D121" s="12"/>
      <c r="E121" s="41"/>
      <c r="F121" s="12"/>
    </row>
    <row r="122" spans="1:6" x14ac:dyDescent="0.25">
      <c r="A122" s="12"/>
      <c r="B122" s="12"/>
      <c r="C122" s="12"/>
      <c r="D122" s="12"/>
      <c r="E122" s="41"/>
      <c r="F122" s="12"/>
    </row>
    <row r="123" spans="1:6" x14ac:dyDescent="0.25">
      <c r="A123" s="12"/>
      <c r="B123" s="12"/>
      <c r="C123" s="12"/>
      <c r="D123" s="12"/>
      <c r="E123" s="41"/>
      <c r="F123" s="12"/>
    </row>
    <row r="124" spans="1:6" x14ac:dyDescent="0.25">
      <c r="A124" s="12"/>
      <c r="B124" s="12"/>
      <c r="C124" s="12"/>
      <c r="D124" s="12"/>
      <c r="E124" s="41"/>
      <c r="F124" s="12"/>
    </row>
    <row r="125" spans="1:6" x14ac:dyDescent="0.25">
      <c r="A125" s="12"/>
      <c r="B125" s="12"/>
      <c r="C125" s="12"/>
      <c r="D125" s="12"/>
      <c r="E125" s="41"/>
      <c r="F125" s="12"/>
    </row>
    <row r="126" spans="1:6" x14ac:dyDescent="0.25">
      <c r="A126" s="12"/>
      <c r="B126" s="12"/>
      <c r="C126" s="12"/>
      <c r="D126" s="12"/>
      <c r="E126" s="41"/>
      <c r="F126" s="12"/>
    </row>
    <row r="127" spans="1:6" x14ac:dyDescent="0.25">
      <c r="A127" s="12"/>
      <c r="B127" s="12"/>
      <c r="C127" s="12"/>
      <c r="D127" s="12"/>
      <c r="E127" s="41"/>
      <c r="F127" s="12"/>
    </row>
    <row r="128" spans="1:6" x14ac:dyDescent="0.25">
      <c r="A128" s="12"/>
      <c r="B128" s="12"/>
      <c r="C128" s="12"/>
      <c r="D128" s="12"/>
      <c r="E128" s="41"/>
      <c r="F128" s="12"/>
    </row>
    <row r="129" spans="1:6" x14ac:dyDescent="0.25">
      <c r="A129" s="12"/>
      <c r="B129" s="12"/>
      <c r="C129" s="12"/>
      <c r="D129" s="12"/>
      <c r="E129" s="41"/>
      <c r="F129" s="12"/>
    </row>
    <row r="130" spans="1:6" x14ac:dyDescent="0.25">
      <c r="A130" s="12"/>
      <c r="B130" s="12"/>
      <c r="C130" s="12"/>
      <c r="D130" s="12"/>
      <c r="E130" s="41"/>
      <c r="F130" s="12"/>
    </row>
    <row r="131" spans="1:6" x14ac:dyDescent="0.25">
      <c r="A131" s="12"/>
      <c r="B131" s="12"/>
      <c r="C131" s="12"/>
      <c r="D131" s="12"/>
      <c r="E131" s="41"/>
      <c r="F131" s="12"/>
    </row>
    <row r="132" spans="1:6" x14ac:dyDescent="0.25">
      <c r="A132" s="12"/>
      <c r="B132" s="12"/>
      <c r="C132" s="12"/>
      <c r="D132" s="12"/>
      <c r="E132" s="41"/>
      <c r="F132" s="12"/>
    </row>
    <row r="133" spans="1:6" x14ac:dyDescent="0.25">
      <c r="A133" s="12"/>
      <c r="B133" s="12"/>
      <c r="C133" s="12"/>
      <c r="D133" s="12"/>
      <c r="E133" s="41"/>
      <c r="F133" s="12"/>
    </row>
    <row r="134" spans="1:6" x14ac:dyDescent="0.25">
      <c r="A134" s="12"/>
      <c r="B134" s="12"/>
      <c r="C134" s="12"/>
      <c r="D134" s="12"/>
      <c r="E134" s="41"/>
      <c r="F134" s="12"/>
    </row>
    <row r="135" spans="1:6" x14ac:dyDescent="0.25">
      <c r="A135" s="12"/>
      <c r="B135" s="12"/>
      <c r="C135" s="12"/>
      <c r="D135" s="12"/>
      <c r="E135" s="41"/>
      <c r="F135" s="12"/>
    </row>
    <row r="136" spans="1:6" x14ac:dyDescent="0.25">
      <c r="A136" s="12"/>
      <c r="B136" s="12"/>
      <c r="C136" s="12"/>
      <c r="D136" s="12"/>
      <c r="E136" s="41"/>
      <c r="F136" s="12"/>
    </row>
    <row r="137" spans="1:6" x14ac:dyDescent="0.25">
      <c r="A137" s="12"/>
      <c r="B137" s="12"/>
      <c r="C137" s="12"/>
      <c r="D137" s="12"/>
      <c r="E137" s="41"/>
      <c r="F137" s="12"/>
    </row>
    <row r="138" spans="1:6" x14ac:dyDescent="0.25">
      <c r="A138" s="12"/>
      <c r="B138" s="12"/>
      <c r="C138" s="12"/>
      <c r="D138" s="12"/>
      <c r="E138" s="41"/>
      <c r="F138" s="12"/>
    </row>
    <row r="139" spans="1:6" x14ac:dyDescent="0.25">
      <c r="A139" s="12"/>
      <c r="B139" s="12"/>
      <c r="C139" s="12"/>
      <c r="D139" s="12"/>
      <c r="E139" s="41"/>
      <c r="F139" s="12"/>
    </row>
    <row r="140" spans="1:6" x14ac:dyDescent="0.25">
      <c r="A140" s="12"/>
      <c r="B140" s="12"/>
      <c r="C140" s="12"/>
      <c r="D140" s="12"/>
      <c r="E140" s="41"/>
      <c r="F140" s="12"/>
    </row>
    <row r="141" spans="1:6" x14ac:dyDescent="0.25">
      <c r="A141" s="12"/>
      <c r="B141" s="12"/>
      <c r="C141" s="12"/>
      <c r="D141" s="12"/>
      <c r="E141" s="41"/>
      <c r="F141" s="12"/>
    </row>
    <row r="142" spans="1:6" x14ac:dyDescent="0.25">
      <c r="A142" s="12"/>
      <c r="B142" s="12"/>
      <c r="C142" s="12"/>
      <c r="D142" s="12"/>
      <c r="E142" s="41"/>
      <c r="F142" s="12"/>
    </row>
    <row r="143" spans="1:6" x14ac:dyDescent="0.25">
      <c r="A143" s="12"/>
      <c r="B143" s="12"/>
      <c r="C143" s="12"/>
      <c r="D143" s="12"/>
      <c r="E143" s="41"/>
      <c r="F143" s="12"/>
    </row>
    <row r="144" spans="1:6" x14ac:dyDescent="0.25">
      <c r="A144" s="12"/>
      <c r="B144" s="12"/>
      <c r="C144" s="12"/>
      <c r="D144" s="12"/>
      <c r="E144" s="41"/>
      <c r="F144" s="12"/>
    </row>
    <row r="145" spans="1:6" x14ac:dyDescent="0.25">
      <c r="A145" s="12"/>
      <c r="B145" s="12"/>
      <c r="C145" s="12"/>
      <c r="D145" s="12"/>
      <c r="E145" s="41"/>
      <c r="F145" s="12"/>
    </row>
    <row r="146" spans="1:6" x14ac:dyDescent="0.25">
      <c r="A146" s="12"/>
      <c r="B146" s="12"/>
      <c r="C146" s="12"/>
      <c r="D146" s="12"/>
      <c r="E146" s="41"/>
      <c r="F146" s="12"/>
    </row>
    <row r="147" spans="1:6" x14ac:dyDescent="0.25">
      <c r="A147" s="12"/>
      <c r="B147" s="12"/>
      <c r="C147" s="12"/>
      <c r="D147" s="12"/>
      <c r="E147" s="41"/>
      <c r="F147" s="12"/>
    </row>
    <row r="148" spans="1:6" x14ac:dyDescent="0.25">
      <c r="A148" s="12"/>
      <c r="B148" s="12"/>
      <c r="C148" s="12"/>
      <c r="D148" s="12"/>
      <c r="E148" s="41"/>
      <c r="F148" s="12"/>
    </row>
    <row r="149" spans="1:6" x14ac:dyDescent="0.25">
      <c r="A149" s="12"/>
      <c r="B149" s="12"/>
      <c r="C149" s="12"/>
      <c r="D149" s="12"/>
      <c r="E149" s="41"/>
      <c r="F149" s="12"/>
    </row>
    <row r="150" spans="1:6" x14ac:dyDescent="0.25">
      <c r="A150" s="12"/>
      <c r="B150" s="12"/>
      <c r="C150" s="12"/>
      <c r="D150" s="12"/>
      <c r="E150" s="41"/>
      <c r="F150" s="12"/>
    </row>
    <row r="151" spans="1:6" x14ac:dyDescent="0.25">
      <c r="A151" s="12"/>
      <c r="B151" s="12"/>
      <c r="C151" s="12"/>
      <c r="D151" s="12"/>
      <c r="E151" s="41"/>
      <c r="F151" s="12"/>
    </row>
    <row r="152" spans="1:6" x14ac:dyDescent="0.25">
      <c r="A152" s="12"/>
      <c r="B152" s="12"/>
      <c r="C152" s="12"/>
      <c r="D152" s="12"/>
      <c r="E152" s="41"/>
      <c r="F152" s="12"/>
    </row>
    <row r="153" spans="1:6" x14ac:dyDescent="0.25">
      <c r="A153" s="12"/>
      <c r="B153" s="12"/>
      <c r="C153" s="12"/>
      <c r="D153" s="12"/>
      <c r="E153" s="41"/>
      <c r="F153" s="12"/>
    </row>
    <row r="154" spans="1:6" x14ac:dyDescent="0.25">
      <c r="A154" s="12"/>
      <c r="B154" s="12"/>
      <c r="C154" s="12"/>
      <c r="D154" s="12"/>
      <c r="E154" s="41"/>
      <c r="F154" s="12"/>
    </row>
    <row r="155" spans="1:6" x14ac:dyDescent="0.25">
      <c r="A155" s="12"/>
      <c r="B155" s="12"/>
      <c r="C155" s="12"/>
      <c r="D155" s="12"/>
      <c r="E155" s="41"/>
      <c r="F155" s="12"/>
    </row>
    <row r="156" spans="1:6" x14ac:dyDescent="0.25">
      <c r="A156" s="12"/>
      <c r="B156" s="12"/>
      <c r="C156" s="12"/>
      <c r="D156" s="12"/>
      <c r="E156" s="41"/>
      <c r="F156" s="12"/>
    </row>
    <row r="157" spans="1:6" x14ac:dyDescent="0.25">
      <c r="A157" s="12"/>
      <c r="B157" s="12"/>
      <c r="C157" s="12"/>
      <c r="D157" s="12"/>
      <c r="E157" s="41"/>
      <c r="F157" s="12"/>
    </row>
    <row r="158" spans="1:6" x14ac:dyDescent="0.25">
      <c r="A158" s="12"/>
      <c r="B158" s="12"/>
      <c r="C158" s="12"/>
      <c r="D158" s="12"/>
      <c r="E158" s="41"/>
      <c r="F158" s="12"/>
    </row>
    <row r="159" spans="1:6" x14ac:dyDescent="0.25">
      <c r="A159" s="12"/>
      <c r="B159" s="12"/>
      <c r="C159" s="12"/>
      <c r="D159" s="12"/>
      <c r="E159" s="41"/>
      <c r="F159" s="12"/>
    </row>
    <row r="160" spans="1:6" x14ac:dyDescent="0.25">
      <c r="A160" s="12"/>
      <c r="B160" s="12"/>
      <c r="C160" s="12"/>
      <c r="D160" s="12"/>
      <c r="E160" s="41"/>
      <c r="F160" s="12"/>
    </row>
    <row r="161" spans="1:6" x14ac:dyDescent="0.25">
      <c r="A161" s="12"/>
      <c r="B161" s="12"/>
      <c r="C161" s="12"/>
      <c r="D161" s="12"/>
      <c r="E161" s="41"/>
      <c r="F161" s="12"/>
    </row>
    <row r="162" spans="1:6" x14ac:dyDescent="0.25">
      <c r="A162" s="12"/>
      <c r="B162" s="12"/>
      <c r="C162" s="12"/>
      <c r="D162" s="12"/>
      <c r="E162" s="41"/>
      <c r="F162" s="12"/>
    </row>
    <row r="163" spans="1:6" x14ac:dyDescent="0.25">
      <c r="A163" s="12"/>
      <c r="B163" s="12"/>
      <c r="C163" s="12"/>
      <c r="D163" s="12"/>
      <c r="E163" s="41"/>
      <c r="F163" s="12"/>
    </row>
    <row r="164" spans="1:6" x14ac:dyDescent="0.25">
      <c r="A164" s="12"/>
      <c r="B164" s="12"/>
      <c r="C164" s="12"/>
      <c r="D164" s="12"/>
      <c r="E164" s="41"/>
      <c r="F164" s="12"/>
    </row>
    <row r="165" spans="1:6" x14ac:dyDescent="0.25">
      <c r="A165" s="12"/>
      <c r="B165" s="12"/>
      <c r="C165" s="12"/>
      <c r="D165" s="12"/>
      <c r="E165" s="41"/>
      <c r="F165" s="12"/>
    </row>
    <row r="166" spans="1:6" x14ac:dyDescent="0.25">
      <c r="A166" s="12"/>
      <c r="B166" s="12"/>
      <c r="C166" s="12"/>
      <c r="D166" s="12"/>
      <c r="E166" s="41"/>
      <c r="F166" s="12"/>
    </row>
    <row r="167" spans="1:6" x14ac:dyDescent="0.25">
      <c r="A167" s="12"/>
      <c r="B167" s="12"/>
      <c r="C167" s="12"/>
      <c r="D167" s="12"/>
      <c r="E167" s="41"/>
      <c r="F167" s="12"/>
    </row>
    <row r="168" spans="1:6" x14ac:dyDescent="0.25">
      <c r="A168" s="12"/>
      <c r="B168" s="12"/>
      <c r="C168" s="12"/>
      <c r="D168" s="12"/>
      <c r="E168" s="41"/>
      <c r="F168" s="12"/>
    </row>
    <row r="169" spans="1:6" x14ac:dyDescent="0.25">
      <c r="A169" s="12"/>
      <c r="B169" s="12"/>
      <c r="C169" s="12"/>
      <c r="D169" s="12"/>
      <c r="E169" s="41"/>
      <c r="F169" s="12"/>
    </row>
    <row r="170" spans="1:6" x14ac:dyDescent="0.25">
      <c r="A170" s="12"/>
      <c r="B170" s="12"/>
      <c r="C170" s="12"/>
      <c r="D170" s="12"/>
      <c r="E170" s="41"/>
      <c r="F170" s="12"/>
    </row>
    <row r="171" spans="1:6" x14ac:dyDescent="0.25">
      <c r="A171" s="12"/>
      <c r="B171" s="12"/>
      <c r="C171" s="12"/>
      <c r="D171" s="12"/>
      <c r="E171" s="41"/>
      <c r="F171" s="12"/>
    </row>
    <row r="172" spans="1:6" x14ac:dyDescent="0.25">
      <c r="A172" s="12"/>
      <c r="B172" s="12"/>
      <c r="C172" s="12"/>
      <c r="D172" s="12"/>
      <c r="E172" s="41"/>
      <c r="F172" s="12"/>
    </row>
    <row r="173" spans="1:6" x14ac:dyDescent="0.25">
      <c r="A173" s="12"/>
      <c r="B173" s="12"/>
      <c r="C173" s="12"/>
      <c r="D173" s="12"/>
      <c r="E173" s="41"/>
      <c r="F173" s="12"/>
    </row>
    <row r="174" spans="1:6" x14ac:dyDescent="0.25">
      <c r="A174" s="12"/>
      <c r="B174" s="12"/>
      <c r="C174" s="12"/>
      <c r="D174" s="12"/>
      <c r="E174" s="41"/>
      <c r="F174" s="12"/>
    </row>
    <row r="175" spans="1:6" x14ac:dyDescent="0.25">
      <c r="A175" s="12"/>
      <c r="B175" s="12"/>
      <c r="C175" s="12"/>
      <c r="D175" s="12"/>
      <c r="E175" s="41"/>
      <c r="F175" s="12"/>
    </row>
    <row r="176" spans="1:6" x14ac:dyDescent="0.25">
      <c r="A176" s="12"/>
      <c r="B176" s="12"/>
      <c r="C176" s="12"/>
      <c r="D176" s="12"/>
      <c r="E176" s="41"/>
      <c r="F176" s="12"/>
    </row>
    <row r="177" spans="1:6" x14ac:dyDescent="0.25">
      <c r="A177" s="12"/>
      <c r="B177" s="12"/>
      <c r="C177" s="12"/>
      <c r="D177" s="12"/>
      <c r="E177" s="41"/>
      <c r="F177" s="12"/>
    </row>
    <row r="178" spans="1:6" x14ac:dyDescent="0.25">
      <c r="A178" s="12"/>
      <c r="B178" s="12"/>
      <c r="C178" s="12"/>
      <c r="D178" s="12"/>
      <c r="E178" s="41"/>
      <c r="F178" s="12"/>
    </row>
    <row r="179" spans="1:6" x14ac:dyDescent="0.25">
      <c r="A179" s="12"/>
      <c r="B179" s="12"/>
      <c r="C179" s="12"/>
      <c r="D179" s="12"/>
      <c r="E179" s="41"/>
      <c r="F179" s="12"/>
    </row>
    <row r="180" spans="1:6" x14ac:dyDescent="0.25">
      <c r="A180" s="12"/>
      <c r="B180" s="12"/>
      <c r="C180" s="12"/>
      <c r="D180" s="12"/>
      <c r="E180" s="41"/>
      <c r="F180" s="12"/>
    </row>
    <row r="181" spans="1:6" x14ac:dyDescent="0.25">
      <c r="A181" s="12"/>
      <c r="B181" s="12"/>
      <c r="C181" s="12"/>
      <c r="D181" s="12"/>
      <c r="E181" s="41"/>
      <c r="F181" s="12"/>
    </row>
    <row r="182" spans="1:6" x14ac:dyDescent="0.25">
      <c r="A182" s="12"/>
      <c r="B182" s="12"/>
      <c r="C182" s="12"/>
      <c r="D182" s="12"/>
      <c r="E182" s="41"/>
      <c r="F182" s="12"/>
    </row>
    <row r="183" spans="1:6" x14ac:dyDescent="0.25">
      <c r="A183" s="12"/>
      <c r="B183" s="12"/>
      <c r="C183" s="12"/>
      <c r="D183" s="12"/>
      <c r="E183" s="41"/>
      <c r="F183" s="12"/>
    </row>
    <row r="184" spans="1:6" x14ac:dyDescent="0.25">
      <c r="A184" s="12"/>
      <c r="B184" s="12"/>
      <c r="C184" s="12"/>
      <c r="D184" s="12"/>
      <c r="E184" s="41"/>
      <c r="F184" s="12"/>
    </row>
    <row r="185" spans="1:6" x14ac:dyDescent="0.25">
      <c r="A185" s="12"/>
      <c r="B185" s="12"/>
      <c r="C185" s="12"/>
      <c r="D185" s="12"/>
      <c r="E185" s="41"/>
      <c r="F185" s="12"/>
    </row>
    <row r="186" spans="1:6" x14ac:dyDescent="0.25">
      <c r="A186" s="12"/>
      <c r="B186" s="12"/>
      <c r="C186" s="12"/>
      <c r="D186" s="12"/>
      <c r="E186" s="41"/>
      <c r="F186" s="12"/>
    </row>
    <row r="187" spans="1:6" x14ac:dyDescent="0.25">
      <c r="A187" s="12"/>
      <c r="B187" s="12"/>
      <c r="C187" s="12"/>
      <c r="D187" s="12"/>
      <c r="E187" s="41"/>
      <c r="F187" s="12"/>
    </row>
    <row r="188" spans="1:6" x14ac:dyDescent="0.25">
      <c r="A188" s="12"/>
      <c r="B188" s="12"/>
      <c r="C188" s="12"/>
      <c r="D188" s="12"/>
      <c r="E188" s="41"/>
      <c r="F188" s="12"/>
    </row>
    <row r="189" spans="1:6" x14ac:dyDescent="0.25">
      <c r="A189" s="12"/>
      <c r="B189" s="12"/>
      <c r="C189" s="12"/>
      <c r="D189" s="12"/>
      <c r="E189" s="41"/>
      <c r="F189" s="12"/>
    </row>
    <row r="190" spans="1:6" x14ac:dyDescent="0.25">
      <c r="A190" s="12"/>
      <c r="B190" s="12"/>
      <c r="C190" s="12"/>
      <c r="D190" s="12"/>
      <c r="E190" s="41"/>
      <c r="F190" s="12"/>
    </row>
    <row r="191" spans="1:6" x14ac:dyDescent="0.25">
      <c r="A191" s="12"/>
      <c r="B191" s="12"/>
      <c r="C191" s="12"/>
      <c r="D191" s="12"/>
      <c r="E191" s="41"/>
      <c r="F191" s="12"/>
    </row>
    <row r="192" spans="1:6" x14ac:dyDescent="0.25">
      <c r="A192" s="12"/>
      <c r="B192" s="12"/>
      <c r="C192" s="12"/>
      <c r="D192" s="12"/>
      <c r="E192" s="41"/>
      <c r="F192" s="12"/>
    </row>
    <row r="193" spans="1:6" x14ac:dyDescent="0.25">
      <c r="A193" s="12"/>
      <c r="B193" s="12"/>
      <c r="C193" s="12"/>
      <c r="D193" s="12"/>
      <c r="E193" s="41"/>
      <c r="F193" s="12"/>
    </row>
    <row r="194" spans="1:6" x14ac:dyDescent="0.25">
      <c r="A194" s="12"/>
      <c r="B194" s="12"/>
      <c r="C194" s="12"/>
      <c r="D194" s="12"/>
      <c r="E194" s="41"/>
      <c r="F194" s="12"/>
    </row>
    <row r="195" spans="1:6" x14ac:dyDescent="0.25">
      <c r="A195" s="12"/>
      <c r="B195" s="12"/>
      <c r="C195" s="12"/>
      <c r="D195" s="12"/>
      <c r="E195" s="41"/>
      <c r="F195" s="12"/>
    </row>
    <row r="196" spans="1:6" x14ac:dyDescent="0.25">
      <c r="A196" s="12"/>
      <c r="B196" s="12"/>
      <c r="C196" s="12"/>
      <c r="D196" s="12"/>
      <c r="E196" s="41"/>
      <c r="F196" s="12"/>
    </row>
    <row r="197" spans="1:6" x14ac:dyDescent="0.25">
      <c r="A197" s="12"/>
      <c r="B197" s="12"/>
      <c r="C197" s="12"/>
      <c r="D197" s="12"/>
      <c r="E197" s="41"/>
      <c r="F197" s="12"/>
    </row>
    <row r="198" spans="1:6" x14ac:dyDescent="0.25">
      <c r="A198" s="12"/>
      <c r="B198" s="12"/>
      <c r="C198" s="12"/>
      <c r="D198" s="12"/>
      <c r="E198" s="41"/>
      <c r="F198" s="12"/>
    </row>
    <row r="199" spans="1:6" x14ac:dyDescent="0.25">
      <c r="A199" s="12"/>
      <c r="B199" s="12"/>
      <c r="C199" s="12"/>
      <c r="D199" s="12"/>
      <c r="E199" s="41"/>
      <c r="F199" s="12"/>
    </row>
    <row r="200" spans="1:6" x14ac:dyDescent="0.25">
      <c r="A200" s="12"/>
      <c r="B200" s="12"/>
      <c r="C200" s="12"/>
      <c r="D200" s="12"/>
      <c r="E200" s="41"/>
      <c r="F200" s="12"/>
    </row>
    <row r="201" spans="1:6" x14ac:dyDescent="0.25">
      <c r="A201" s="12"/>
      <c r="B201" s="12"/>
      <c r="C201" s="12"/>
      <c r="D201" s="12"/>
      <c r="E201" s="41"/>
      <c r="F201" s="12"/>
    </row>
    <row r="202" spans="1:6" x14ac:dyDescent="0.25">
      <c r="A202" s="12"/>
      <c r="B202" s="12"/>
      <c r="C202" s="12"/>
      <c r="D202" s="12"/>
      <c r="E202" s="41"/>
      <c r="F202" s="12"/>
    </row>
    <row r="203" spans="1:6" x14ac:dyDescent="0.25">
      <c r="A203" s="12"/>
      <c r="B203" s="12"/>
      <c r="C203" s="12"/>
      <c r="D203" s="12"/>
      <c r="E203" s="41"/>
      <c r="F203" s="12"/>
    </row>
    <row r="204" spans="1:6" x14ac:dyDescent="0.25">
      <c r="A204" s="12"/>
      <c r="B204" s="12"/>
      <c r="C204" s="12"/>
      <c r="D204" s="12"/>
      <c r="E204" s="41"/>
      <c r="F204" s="12"/>
    </row>
    <row r="205" spans="1:6" x14ac:dyDescent="0.25">
      <c r="A205" s="12"/>
      <c r="B205" s="12"/>
      <c r="C205" s="12"/>
      <c r="D205" s="12"/>
      <c r="E205" s="41"/>
      <c r="F205" s="12"/>
    </row>
    <row r="206" spans="1:6" x14ac:dyDescent="0.25">
      <c r="A206" s="12"/>
      <c r="B206" s="12"/>
      <c r="C206" s="12"/>
      <c r="D206" s="12"/>
      <c r="E206" s="41"/>
      <c r="F206" s="12"/>
    </row>
    <row r="207" spans="1:6" x14ac:dyDescent="0.25">
      <c r="A207" s="12"/>
      <c r="B207" s="12"/>
      <c r="C207" s="12"/>
      <c r="D207" s="12"/>
      <c r="E207" s="41"/>
      <c r="F207" s="12"/>
    </row>
    <row r="208" spans="1:6" x14ac:dyDescent="0.25">
      <c r="A208" s="12"/>
      <c r="B208" s="12"/>
      <c r="C208" s="12"/>
      <c r="D208" s="12"/>
      <c r="E208" s="41"/>
      <c r="F208" s="12"/>
    </row>
    <row r="209" spans="1:6" x14ac:dyDescent="0.25">
      <c r="A209" s="12"/>
      <c r="B209" s="12"/>
      <c r="C209" s="12"/>
      <c r="D209" s="12"/>
      <c r="E209" s="41"/>
      <c r="F209" s="12"/>
    </row>
    <row r="210" spans="1:6" x14ac:dyDescent="0.25">
      <c r="A210" s="12"/>
      <c r="B210" s="12"/>
      <c r="C210" s="12"/>
      <c r="D210" s="12"/>
      <c r="E210" s="41"/>
      <c r="F210" s="12"/>
    </row>
    <row r="211" spans="1:6" x14ac:dyDescent="0.25">
      <c r="A211" s="12"/>
      <c r="B211" s="12"/>
      <c r="C211" s="12"/>
      <c r="D211" s="12"/>
      <c r="E211" s="41"/>
      <c r="F211" s="12"/>
    </row>
    <row r="212" spans="1:6" x14ac:dyDescent="0.25">
      <c r="A212" s="12"/>
      <c r="B212" s="12"/>
      <c r="C212" s="12"/>
      <c r="D212" s="12"/>
      <c r="E212" s="41"/>
      <c r="F212" s="12"/>
    </row>
    <row r="213" spans="1:6" x14ac:dyDescent="0.25">
      <c r="A213" s="12"/>
      <c r="B213" s="12"/>
      <c r="C213" s="12"/>
      <c r="D213" s="12"/>
      <c r="E213" s="41"/>
      <c r="F213" s="12"/>
    </row>
    <row r="214" spans="1:6" x14ac:dyDescent="0.25">
      <c r="A214" s="12"/>
      <c r="B214" s="12"/>
      <c r="C214" s="12"/>
      <c r="D214" s="12"/>
      <c r="E214" s="41"/>
      <c r="F214" s="12"/>
    </row>
    <row r="215" spans="1:6" x14ac:dyDescent="0.25">
      <c r="A215" s="12"/>
      <c r="B215" s="12"/>
      <c r="C215" s="12"/>
      <c r="D215" s="12"/>
      <c r="E215" s="41"/>
      <c r="F215" s="12"/>
    </row>
    <row r="216" spans="1:6" x14ac:dyDescent="0.25">
      <c r="A216" s="12"/>
      <c r="B216" s="12"/>
      <c r="C216" s="12"/>
      <c r="D216" s="12"/>
      <c r="E216" s="41"/>
      <c r="F216" s="12"/>
    </row>
    <row r="217" spans="1:6" x14ac:dyDescent="0.25">
      <c r="A217" s="12"/>
      <c r="B217" s="12"/>
      <c r="C217" s="12"/>
      <c r="D217" s="12"/>
      <c r="E217" s="41"/>
      <c r="F217" s="12"/>
    </row>
    <row r="218" spans="1:6" x14ac:dyDescent="0.25">
      <c r="A218" s="12"/>
      <c r="B218" s="12"/>
      <c r="C218" s="12"/>
      <c r="D218" s="12"/>
      <c r="E218" s="41"/>
      <c r="F218" s="12"/>
    </row>
    <row r="219" spans="1:6" x14ac:dyDescent="0.25">
      <c r="A219" s="12"/>
      <c r="B219" s="12"/>
      <c r="C219" s="12"/>
      <c r="D219" s="12"/>
      <c r="E219" s="41"/>
      <c r="F219" s="12"/>
    </row>
    <row r="220" spans="1:6" x14ac:dyDescent="0.25">
      <c r="A220" s="12"/>
      <c r="B220" s="12"/>
      <c r="C220" s="12"/>
      <c r="D220" s="12"/>
      <c r="E220" s="41"/>
      <c r="F220" s="12"/>
    </row>
    <row r="221" spans="1:6" x14ac:dyDescent="0.25">
      <c r="A221" s="12"/>
      <c r="B221" s="12"/>
      <c r="C221" s="12"/>
      <c r="D221" s="12"/>
      <c r="E221" s="41"/>
      <c r="F221" s="12"/>
    </row>
    <row r="222" spans="1:6" x14ac:dyDescent="0.25">
      <c r="A222" s="12"/>
      <c r="B222" s="12"/>
      <c r="C222" s="12"/>
      <c r="D222" s="12"/>
      <c r="E222" s="41"/>
      <c r="F222" s="12"/>
    </row>
    <row r="223" spans="1:6" x14ac:dyDescent="0.25">
      <c r="A223" s="12"/>
      <c r="B223" s="12"/>
      <c r="C223" s="12"/>
      <c r="D223" s="12"/>
      <c r="E223" s="41"/>
      <c r="F223" s="12"/>
    </row>
    <row r="224" spans="1:6" x14ac:dyDescent="0.25">
      <c r="A224" s="12"/>
      <c r="B224" s="12"/>
      <c r="C224" s="12"/>
      <c r="D224" s="12"/>
      <c r="E224" s="41"/>
      <c r="F224" s="12"/>
    </row>
    <row r="225" spans="1:6" x14ac:dyDescent="0.25">
      <c r="A225" s="12"/>
      <c r="B225" s="12"/>
      <c r="C225" s="12"/>
      <c r="D225" s="12"/>
      <c r="E225" s="41"/>
      <c r="F225" s="12"/>
    </row>
    <row r="226" spans="1:6" x14ac:dyDescent="0.25">
      <c r="A226" s="12"/>
      <c r="B226" s="12"/>
      <c r="C226" s="12"/>
      <c r="D226" s="12"/>
      <c r="E226" s="41"/>
      <c r="F226" s="12"/>
    </row>
    <row r="227" spans="1:6" x14ac:dyDescent="0.25">
      <c r="A227" s="12"/>
      <c r="B227" s="12"/>
      <c r="C227" s="12"/>
      <c r="D227" s="12"/>
      <c r="E227" s="41"/>
      <c r="F227" s="12"/>
    </row>
    <row r="228" spans="1:6" x14ac:dyDescent="0.25">
      <c r="A228" s="12"/>
      <c r="B228" s="12"/>
      <c r="C228" s="12"/>
      <c r="D228" s="12"/>
      <c r="E228" s="41"/>
      <c r="F228" s="12"/>
    </row>
    <row r="229" spans="1:6" x14ac:dyDescent="0.25">
      <c r="A229" s="12"/>
      <c r="B229" s="12"/>
      <c r="C229" s="12"/>
      <c r="D229" s="12"/>
      <c r="E229" s="41"/>
      <c r="F229" s="12"/>
    </row>
    <row r="230" spans="1:6" x14ac:dyDescent="0.25">
      <c r="A230" s="12"/>
      <c r="B230" s="12"/>
      <c r="C230" s="12"/>
      <c r="D230" s="12"/>
      <c r="E230" s="41"/>
      <c r="F230" s="12"/>
    </row>
    <row r="231" spans="1:6" x14ac:dyDescent="0.25">
      <c r="A231" s="12"/>
      <c r="B231" s="12"/>
      <c r="C231" s="12"/>
      <c r="D231" s="12"/>
      <c r="E231" s="41"/>
      <c r="F231" s="12"/>
    </row>
    <row r="232" spans="1:6" x14ac:dyDescent="0.25">
      <c r="A232" s="12"/>
      <c r="B232" s="12"/>
      <c r="C232" s="12"/>
      <c r="D232" s="12"/>
      <c r="E232" s="41"/>
      <c r="F232" s="12"/>
    </row>
    <row r="233" spans="1:6" x14ac:dyDescent="0.25">
      <c r="A233" s="12"/>
      <c r="B233" s="12"/>
      <c r="C233" s="12"/>
      <c r="D233" s="12"/>
      <c r="E233" s="41"/>
      <c r="F233" s="12"/>
    </row>
    <row r="234" spans="1:6" x14ac:dyDescent="0.25">
      <c r="A234" s="12"/>
      <c r="B234" s="12"/>
      <c r="C234" s="12"/>
      <c r="D234" s="12"/>
      <c r="E234" s="41"/>
      <c r="F234" s="12"/>
    </row>
    <row r="235" spans="1:6" x14ac:dyDescent="0.25">
      <c r="A235" s="12"/>
      <c r="B235" s="12"/>
      <c r="C235" s="12"/>
      <c r="D235" s="12"/>
      <c r="E235" s="41"/>
      <c r="F235" s="12"/>
    </row>
    <row r="236" spans="1:6" x14ac:dyDescent="0.25">
      <c r="A236" s="12"/>
      <c r="B236" s="12"/>
      <c r="C236" s="12"/>
      <c r="D236" s="12"/>
      <c r="E236" s="41"/>
      <c r="F236" s="12"/>
    </row>
    <row r="237" spans="1:6" x14ac:dyDescent="0.25">
      <c r="A237" s="12"/>
      <c r="B237" s="12"/>
      <c r="C237" s="12"/>
      <c r="D237" s="12"/>
      <c r="E237" s="41"/>
      <c r="F237" s="12"/>
    </row>
    <row r="238" spans="1:6" x14ac:dyDescent="0.25">
      <c r="A238" s="12"/>
      <c r="B238" s="12"/>
      <c r="C238" s="12"/>
      <c r="D238" s="12"/>
      <c r="E238" s="41"/>
      <c r="F238" s="12"/>
    </row>
    <row r="239" spans="1:6" x14ac:dyDescent="0.25">
      <c r="A239" s="12"/>
      <c r="B239" s="12"/>
      <c r="C239" s="12"/>
      <c r="D239" s="12"/>
      <c r="E239" s="41"/>
      <c r="F239" s="12"/>
    </row>
    <row r="240" spans="1:6" x14ac:dyDescent="0.25">
      <c r="A240" s="12"/>
      <c r="B240" s="12"/>
      <c r="C240" s="12"/>
      <c r="D240" s="12"/>
      <c r="E240" s="41"/>
      <c r="F240" s="12"/>
    </row>
    <row r="241" spans="1:6" x14ac:dyDescent="0.25">
      <c r="A241" s="12"/>
      <c r="B241" s="12"/>
      <c r="C241" s="12"/>
      <c r="D241" s="12"/>
      <c r="E241" s="41"/>
      <c r="F241" s="12"/>
    </row>
    <row r="242" spans="1:6" x14ac:dyDescent="0.25">
      <c r="A242" s="12"/>
      <c r="B242" s="12"/>
      <c r="C242" s="12"/>
      <c r="D242" s="12"/>
      <c r="E242" s="41"/>
      <c r="F242" s="12"/>
    </row>
    <row r="243" spans="1:6" x14ac:dyDescent="0.25">
      <c r="A243" s="12"/>
      <c r="B243" s="12"/>
      <c r="C243" s="12"/>
      <c r="D243" s="12"/>
      <c r="E243" s="41"/>
      <c r="F243" s="12"/>
    </row>
    <row r="244" spans="1:6" x14ac:dyDescent="0.25">
      <c r="A244" s="12"/>
      <c r="B244" s="12"/>
      <c r="C244" s="12"/>
      <c r="D244" s="12"/>
      <c r="E244" s="41"/>
      <c r="F244" s="12"/>
    </row>
    <row r="245" spans="1:6" x14ac:dyDescent="0.25">
      <c r="A245" s="12"/>
      <c r="B245" s="12"/>
      <c r="C245" s="12"/>
      <c r="D245" s="12"/>
      <c r="E245" s="41"/>
      <c r="F245" s="12"/>
    </row>
    <row r="246" spans="1:6" x14ac:dyDescent="0.25">
      <c r="A246" s="12"/>
      <c r="B246" s="12"/>
      <c r="C246" s="12"/>
      <c r="D246" s="12"/>
      <c r="E246" s="41"/>
      <c r="F246" s="12"/>
    </row>
    <row r="247" spans="1:6" x14ac:dyDescent="0.25">
      <c r="A247" s="12"/>
      <c r="B247" s="12"/>
      <c r="C247" s="12"/>
      <c r="D247" s="12"/>
      <c r="E247" s="41"/>
      <c r="F247" s="12"/>
    </row>
    <row r="248" spans="1:6" x14ac:dyDescent="0.25">
      <c r="A248" s="12"/>
      <c r="B248" s="12"/>
      <c r="C248" s="12"/>
      <c r="D248" s="12"/>
      <c r="E248" s="41"/>
      <c r="F248" s="12"/>
    </row>
    <row r="249" spans="1:6" x14ac:dyDescent="0.25">
      <c r="A249" s="12"/>
      <c r="B249" s="12"/>
      <c r="C249" s="12"/>
      <c r="D249" s="12"/>
      <c r="E249" s="41"/>
      <c r="F249" s="12"/>
    </row>
    <row r="250" spans="1:6" x14ac:dyDescent="0.25">
      <c r="A250" s="12"/>
      <c r="B250" s="12"/>
      <c r="C250" s="12"/>
      <c r="D250" s="12"/>
      <c r="E250" s="41"/>
      <c r="F250" s="12"/>
    </row>
    <row r="251" spans="1:6" x14ac:dyDescent="0.25">
      <c r="A251" s="12"/>
      <c r="B251" s="12"/>
      <c r="C251" s="12"/>
      <c r="D251" s="12"/>
      <c r="E251" s="41"/>
      <c r="F251" s="12"/>
    </row>
    <row r="252" spans="1:6" x14ac:dyDescent="0.25">
      <c r="A252" s="12"/>
      <c r="B252" s="12"/>
      <c r="C252" s="12"/>
      <c r="D252" s="12"/>
      <c r="E252" s="41"/>
      <c r="F252" s="12"/>
    </row>
    <row r="253" spans="1:6" x14ac:dyDescent="0.25">
      <c r="A253" s="12"/>
      <c r="B253" s="12"/>
      <c r="C253" s="12"/>
      <c r="D253" s="12"/>
      <c r="E253" s="41"/>
      <c r="F253" s="12"/>
    </row>
    <row r="254" spans="1:6" x14ac:dyDescent="0.25">
      <c r="A254" s="12"/>
      <c r="B254" s="12"/>
      <c r="C254" s="12"/>
      <c r="D254" s="12"/>
      <c r="E254" s="41"/>
      <c r="F254" s="12"/>
    </row>
    <row r="255" spans="1:6" x14ac:dyDescent="0.25">
      <c r="A255" s="12"/>
      <c r="B255" s="12"/>
      <c r="C255" s="12"/>
      <c r="D255" s="12"/>
      <c r="E255" s="41"/>
      <c r="F255" s="12"/>
    </row>
    <row r="256" spans="1:6" x14ac:dyDescent="0.25">
      <c r="A256" s="12"/>
      <c r="B256" s="12"/>
      <c r="C256" s="12"/>
      <c r="D256" s="12"/>
      <c r="E256" s="41"/>
      <c r="F256" s="12"/>
    </row>
    <row r="257" spans="1:6" x14ac:dyDescent="0.25">
      <c r="A257" s="12"/>
      <c r="B257" s="12"/>
      <c r="C257" s="12"/>
      <c r="D257" s="12"/>
      <c r="E257" s="41"/>
      <c r="F257" s="12"/>
    </row>
    <row r="258" spans="1:6" x14ac:dyDescent="0.25">
      <c r="A258" s="12"/>
      <c r="B258" s="12"/>
      <c r="C258" s="12"/>
      <c r="D258" s="12"/>
      <c r="E258" s="41"/>
      <c r="F258" s="12"/>
    </row>
    <row r="259" spans="1:6" x14ac:dyDescent="0.25">
      <c r="A259" s="12"/>
      <c r="B259" s="12"/>
      <c r="C259" s="12"/>
      <c r="D259" s="12"/>
      <c r="E259" s="41"/>
      <c r="F259" s="12"/>
    </row>
    <row r="260" spans="1:6" x14ac:dyDescent="0.25">
      <c r="A260" s="12"/>
      <c r="B260" s="12"/>
      <c r="C260" s="12"/>
      <c r="D260" s="12"/>
      <c r="E260" s="41"/>
      <c r="F260" s="12"/>
    </row>
    <row r="261" spans="1:6" x14ac:dyDescent="0.25">
      <c r="A261" s="12"/>
      <c r="B261" s="12"/>
      <c r="C261" s="12"/>
      <c r="D261" s="12"/>
      <c r="E261" s="41"/>
      <c r="F261" s="12"/>
    </row>
    <row r="262" spans="1:6" x14ac:dyDescent="0.25">
      <c r="A262" s="12"/>
      <c r="B262" s="12"/>
      <c r="C262" s="12"/>
      <c r="D262" s="12"/>
      <c r="E262" s="41"/>
      <c r="F262" s="12"/>
    </row>
    <row r="263" spans="1:6" x14ac:dyDescent="0.25">
      <c r="A263" s="12"/>
      <c r="B263" s="12"/>
      <c r="C263" s="12"/>
      <c r="D263" s="12"/>
      <c r="E263" s="41"/>
      <c r="F263" s="12"/>
    </row>
    <row r="264" spans="1:6" x14ac:dyDescent="0.25">
      <c r="A264" s="12"/>
      <c r="B264" s="12"/>
      <c r="C264" s="12"/>
      <c r="D264" s="12"/>
      <c r="E264" s="41"/>
      <c r="F264" s="12"/>
    </row>
    <row r="265" spans="1:6" x14ac:dyDescent="0.25">
      <c r="A265" s="12"/>
      <c r="B265" s="12"/>
      <c r="C265" s="12"/>
      <c r="D265" s="12"/>
      <c r="E265" s="41"/>
      <c r="F265" s="12"/>
    </row>
    <row r="266" spans="1:6" x14ac:dyDescent="0.25">
      <c r="A266" s="12"/>
      <c r="B266" s="12"/>
      <c r="C266" s="12"/>
      <c r="D266" s="12"/>
      <c r="E266" s="41"/>
      <c r="F266" s="12"/>
    </row>
    <row r="267" spans="1:6" x14ac:dyDescent="0.25">
      <c r="A267" s="12"/>
      <c r="B267" s="12"/>
      <c r="C267" s="12"/>
      <c r="D267" s="12"/>
      <c r="E267" s="41"/>
      <c r="F267" s="12"/>
    </row>
    <row r="268" spans="1:6" x14ac:dyDescent="0.25">
      <c r="A268" s="12"/>
      <c r="B268" s="12"/>
      <c r="C268" s="12"/>
      <c r="D268" s="12"/>
      <c r="E268" s="41"/>
      <c r="F268" s="12"/>
    </row>
    <row r="269" spans="1:6" x14ac:dyDescent="0.25">
      <c r="A269" s="12"/>
      <c r="B269" s="12"/>
      <c r="C269" s="12"/>
      <c r="D269" s="12"/>
      <c r="E269" s="41"/>
      <c r="F269" s="12"/>
    </row>
    <row r="270" spans="1:6" x14ac:dyDescent="0.25">
      <c r="A270" s="12"/>
      <c r="B270" s="12"/>
      <c r="C270" s="12"/>
      <c r="D270" s="12"/>
      <c r="E270" s="41"/>
      <c r="F270" s="12"/>
    </row>
    <row r="271" spans="1:6" x14ac:dyDescent="0.25">
      <c r="A271" s="12"/>
      <c r="B271" s="12"/>
      <c r="C271" s="12"/>
      <c r="D271" s="12"/>
      <c r="E271" s="41"/>
      <c r="F271" s="12"/>
    </row>
    <row r="272" spans="1:6" x14ac:dyDescent="0.25">
      <c r="A272" s="12"/>
      <c r="B272" s="12"/>
      <c r="C272" s="12"/>
      <c r="D272" s="12"/>
      <c r="E272" s="41"/>
      <c r="F272" s="12"/>
    </row>
    <row r="273" spans="1:6" x14ac:dyDescent="0.25">
      <c r="A273" s="12"/>
      <c r="B273" s="12"/>
      <c r="C273" s="12"/>
      <c r="D273" s="12"/>
      <c r="E273" s="41"/>
      <c r="F273" s="12"/>
    </row>
    <row r="274" spans="1:6" x14ac:dyDescent="0.25">
      <c r="A274" s="12"/>
      <c r="B274" s="12"/>
      <c r="C274" s="12"/>
      <c r="D274" s="12"/>
      <c r="E274" s="41"/>
      <c r="F274" s="12"/>
    </row>
    <row r="275" spans="1:6" x14ac:dyDescent="0.25">
      <c r="A275" s="12"/>
      <c r="B275" s="12"/>
      <c r="C275" s="12"/>
      <c r="D275" s="12"/>
      <c r="E275" s="41"/>
      <c r="F275" s="12"/>
    </row>
    <row r="276" spans="1:6" x14ac:dyDescent="0.25">
      <c r="A276" s="12"/>
      <c r="B276" s="12"/>
      <c r="C276" s="12"/>
      <c r="D276" s="12"/>
      <c r="E276" s="41"/>
      <c r="F276" s="12"/>
    </row>
    <row r="277" spans="1:6" x14ac:dyDescent="0.25">
      <c r="A277" s="12"/>
      <c r="B277" s="12"/>
      <c r="C277" s="12"/>
      <c r="D277" s="12"/>
      <c r="E277" s="41"/>
      <c r="F277" s="12"/>
    </row>
    <row r="278" spans="1:6" x14ac:dyDescent="0.25">
      <c r="A278" s="12"/>
      <c r="B278" s="12"/>
      <c r="C278" s="12"/>
      <c r="D278" s="12"/>
      <c r="E278" s="41"/>
      <c r="F278" s="12"/>
    </row>
    <row r="279" spans="1:6" x14ac:dyDescent="0.25">
      <c r="A279" s="12"/>
      <c r="B279" s="12"/>
      <c r="C279" s="12"/>
      <c r="D279" s="12"/>
      <c r="E279" s="41"/>
      <c r="F279" s="12"/>
    </row>
    <row r="280" spans="1:6" x14ac:dyDescent="0.25">
      <c r="A280" s="12"/>
      <c r="B280" s="12"/>
      <c r="C280" s="12"/>
      <c r="D280" s="12"/>
      <c r="E280" s="41"/>
      <c r="F280" s="12"/>
    </row>
    <row r="281" spans="1:6" x14ac:dyDescent="0.25">
      <c r="A281" s="12"/>
      <c r="B281" s="12"/>
      <c r="C281" s="12"/>
      <c r="D281" s="12"/>
      <c r="E281" s="41"/>
      <c r="F281" s="12"/>
    </row>
    <row r="282" spans="1:6" x14ac:dyDescent="0.25">
      <c r="A282" s="12"/>
      <c r="B282" s="12"/>
      <c r="C282" s="12"/>
      <c r="D282" s="12"/>
      <c r="E282" s="41"/>
      <c r="F282" s="12"/>
    </row>
    <row r="283" spans="1:6" x14ac:dyDescent="0.25">
      <c r="A283" s="12"/>
      <c r="B283" s="12"/>
      <c r="C283" s="12"/>
      <c r="D283" s="12"/>
      <c r="E283" s="41"/>
      <c r="F283" s="12"/>
    </row>
    <row r="284" spans="1:6" x14ac:dyDescent="0.25">
      <c r="A284" s="12"/>
      <c r="B284" s="12"/>
      <c r="C284" s="12"/>
      <c r="D284" s="12"/>
      <c r="E284" s="41"/>
      <c r="F284" s="12"/>
    </row>
    <row r="285" spans="1:6" x14ac:dyDescent="0.25">
      <c r="A285" s="12"/>
      <c r="B285" s="12"/>
      <c r="C285" s="12"/>
      <c r="D285" s="12"/>
      <c r="E285" s="41"/>
      <c r="F285" s="12"/>
    </row>
    <row r="286" spans="1:6" x14ac:dyDescent="0.25">
      <c r="A286" s="12"/>
      <c r="B286" s="12"/>
      <c r="C286" s="12"/>
      <c r="D286" s="12"/>
      <c r="E286" s="41"/>
      <c r="F286" s="12"/>
    </row>
    <row r="287" spans="1:6" x14ac:dyDescent="0.25">
      <c r="A287" s="12"/>
      <c r="B287" s="12"/>
      <c r="C287" s="12"/>
      <c r="D287" s="12"/>
      <c r="E287" s="41"/>
      <c r="F287" s="12"/>
    </row>
    <row r="288" spans="1:6" x14ac:dyDescent="0.25">
      <c r="A288" s="12"/>
      <c r="B288" s="12"/>
      <c r="C288" s="12"/>
      <c r="D288" s="12"/>
      <c r="E288" s="41"/>
      <c r="F288" s="12"/>
    </row>
    <row r="289" spans="1:6" x14ac:dyDescent="0.25">
      <c r="A289" s="12"/>
      <c r="B289" s="12"/>
      <c r="C289" s="12"/>
      <c r="D289" s="12"/>
      <c r="E289" s="41"/>
      <c r="F289" s="12"/>
    </row>
    <row r="290" spans="1:6" x14ac:dyDescent="0.25">
      <c r="A290" s="12"/>
      <c r="B290" s="12"/>
      <c r="C290" s="12"/>
      <c r="D290" s="12"/>
      <c r="E290" s="41"/>
      <c r="F290" s="12"/>
    </row>
    <row r="291" spans="1:6" x14ac:dyDescent="0.25">
      <c r="A291" s="12"/>
      <c r="B291" s="12"/>
      <c r="C291" s="12"/>
      <c r="D291" s="12"/>
      <c r="E291" s="41"/>
      <c r="F291" s="12"/>
    </row>
    <row r="292" spans="1:6" x14ac:dyDescent="0.25">
      <c r="A292" s="12"/>
      <c r="B292" s="12"/>
      <c r="C292" s="12"/>
      <c r="D292" s="12"/>
      <c r="E292" s="41"/>
      <c r="F292" s="12"/>
    </row>
    <row r="293" spans="1:6" x14ac:dyDescent="0.25">
      <c r="A293" s="12"/>
      <c r="B293" s="12"/>
      <c r="C293" s="12"/>
      <c r="D293" s="12"/>
      <c r="E293" s="41"/>
      <c r="F293" s="12"/>
    </row>
    <row r="294" spans="1:6" x14ac:dyDescent="0.25">
      <c r="A294" s="12"/>
      <c r="B294" s="12"/>
      <c r="C294" s="12"/>
      <c r="D294" s="12"/>
      <c r="E294" s="41"/>
      <c r="F294" s="12"/>
    </row>
    <row r="295" spans="1:6" x14ac:dyDescent="0.25">
      <c r="A295" s="12"/>
      <c r="B295" s="12"/>
      <c r="C295" s="12"/>
      <c r="D295" s="12"/>
      <c r="E295" s="41"/>
      <c r="F295" s="12"/>
    </row>
    <row r="296" spans="1:6" x14ac:dyDescent="0.25">
      <c r="A296" s="12"/>
      <c r="B296" s="12"/>
      <c r="C296" s="12"/>
      <c r="D296" s="12"/>
      <c r="E296" s="41"/>
      <c r="F296" s="12"/>
    </row>
    <row r="297" spans="1:6" x14ac:dyDescent="0.25">
      <c r="A297" s="12"/>
      <c r="B297" s="12"/>
      <c r="C297" s="12"/>
      <c r="D297" s="12"/>
      <c r="E297" s="41"/>
      <c r="F297" s="12"/>
    </row>
    <row r="298" spans="1:6" x14ac:dyDescent="0.25">
      <c r="A298" s="12"/>
      <c r="B298" s="12"/>
      <c r="C298" s="12"/>
      <c r="D298" s="12"/>
      <c r="E298" s="41"/>
      <c r="F298" s="12"/>
    </row>
    <row r="299" spans="1:6" x14ac:dyDescent="0.25">
      <c r="A299" s="12"/>
      <c r="B299" s="12"/>
      <c r="C299" s="12"/>
      <c r="D299" s="12"/>
      <c r="E299" s="41"/>
      <c r="F299" s="12"/>
    </row>
    <row r="300" spans="1:6" x14ac:dyDescent="0.25">
      <c r="A300" s="12"/>
      <c r="B300" s="12"/>
      <c r="C300" s="12"/>
      <c r="D300" s="12"/>
      <c r="E300" s="41"/>
      <c r="F300" s="12"/>
    </row>
    <row r="301" spans="1:6" x14ac:dyDescent="0.25">
      <c r="A301" s="12"/>
      <c r="B301" s="12"/>
      <c r="C301" s="12"/>
      <c r="D301" s="12"/>
      <c r="E301" s="41"/>
      <c r="F301" s="12"/>
    </row>
    <row r="302" spans="1:6" x14ac:dyDescent="0.25">
      <c r="A302" s="12"/>
      <c r="B302" s="12"/>
      <c r="C302" s="12"/>
      <c r="D302" s="12"/>
      <c r="E302" s="41"/>
      <c r="F302" s="12"/>
    </row>
    <row r="303" spans="1:6" x14ac:dyDescent="0.25">
      <c r="A303" s="12"/>
      <c r="B303" s="12"/>
      <c r="C303" s="12"/>
      <c r="D303" s="12"/>
      <c r="E303" s="41"/>
      <c r="F303" s="12"/>
    </row>
    <row r="304" spans="1:6" x14ac:dyDescent="0.25">
      <c r="A304" s="12"/>
      <c r="B304" s="12"/>
      <c r="C304" s="12"/>
      <c r="D304" s="12"/>
      <c r="E304" s="41"/>
      <c r="F304" s="12"/>
    </row>
    <row r="305" spans="1:6" x14ac:dyDescent="0.25">
      <c r="A305" s="12"/>
      <c r="B305" s="12"/>
      <c r="C305" s="12"/>
      <c r="D305" s="12"/>
      <c r="E305" s="41"/>
      <c r="F305" s="12"/>
    </row>
    <row r="306" spans="1:6" x14ac:dyDescent="0.25">
      <c r="A306" s="12"/>
      <c r="B306" s="12"/>
      <c r="C306" s="12"/>
      <c r="D306" s="12"/>
      <c r="E306" s="41"/>
      <c r="F306" s="12"/>
    </row>
    <row r="307" spans="1:6" x14ac:dyDescent="0.25">
      <c r="A307" s="12"/>
      <c r="B307" s="12"/>
      <c r="C307" s="12"/>
      <c r="D307" s="12"/>
      <c r="E307" s="41"/>
      <c r="F307" s="12"/>
    </row>
    <row r="308" spans="1:6" x14ac:dyDescent="0.25">
      <c r="A308" s="12"/>
      <c r="B308" s="12"/>
      <c r="C308" s="12"/>
      <c r="D308" s="12"/>
      <c r="E308" s="41"/>
      <c r="F308" s="12"/>
    </row>
    <row r="309" spans="1:6" x14ac:dyDescent="0.25">
      <c r="A309" s="12"/>
      <c r="B309" s="12"/>
      <c r="C309" s="12"/>
      <c r="D309" s="12"/>
      <c r="E309" s="41"/>
      <c r="F309" s="12"/>
    </row>
    <row r="310" spans="1:6" x14ac:dyDescent="0.25">
      <c r="A310" s="12"/>
      <c r="B310" s="12"/>
      <c r="C310" s="12"/>
      <c r="D310" s="12"/>
      <c r="E310" s="41"/>
      <c r="F310" s="12"/>
    </row>
    <row r="311" spans="1:6" x14ac:dyDescent="0.25">
      <c r="A311" s="12"/>
      <c r="B311" s="12"/>
      <c r="C311" s="12"/>
      <c r="D311" s="12"/>
      <c r="E311" s="41"/>
      <c r="F311" s="12"/>
    </row>
    <row r="312" spans="1:6" x14ac:dyDescent="0.25">
      <c r="A312" s="12"/>
      <c r="B312" s="12"/>
      <c r="C312" s="12"/>
      <c r="D312" s="12"/>
      <c r="E312" s="41"/>
      <c r="F312" s="12"/>
    </row>
    <row r="313" spans="1:6" x14ac:dyDescent="0.25">
      <c r="A313" s="12"/>
      <c r="B313" s="12"/>
      <c r="C313" s="12"/>
      <c r="D313" s="12"/>
      <c r="E313" s="41"/>
      <c r="F313" s="12"/>
    </row>
    <row r="314" spans="1:6" x14ac:dyDescent="0.25">
      <c r="A314" s="12"/>
      <c r="B314" s="12"/>
      <c r="C314" s="12"/>
      <c r="D314" s="12"/>
      <c r="E314" s="41"/>
      <c r="F314" s="12"/>
    </row>
    <row r="315" spans="1:6" x14ac:dyDescent="0.25">
      <c r="A315" s="12"/>
      <c r="B315" s="12"/>
      <c r="C315" s="12"/>
      <c r="D315" s="12"/>
      <c r="E315" s="41"/>
      <c r="F315" s="12"/>
    </row>
    <row r="316" spans="1:6" x14ac:dyDescent="0.25">
      <c r="A316" s="12"/>
      <c r="B316" s="12"/>
      <c r="C316" s="12"/>
      <c r="D316" s="12"/>
      <c r="E316" s="41"/>
      <c r="F316" s="12"/>
    </row>
    <row r="317" spans="1:6" x14ac:dyDescent="0.25">
      <c r="A317" s="12"/>
      <c r="B317" s="12"/>
      <c r="C317" s="12"/>
      <c r="D317" s="12"/>
      <c r="E317" s="41"/>
      <c r="F317" s="12"/>
    </row>
    <row r="318" spans="1:6" x14ac:dyDescent="0.25">
      <c r="A318" s="12"/>
      <c r="B318" s="12"/>
      <c r="C318" s="12"/>
      <c r="D318" s="12"/>
      <c r="E318" s="41"/>
      <c r="F318" s="12"/>
    </row>
    <row r="319" spans="1:6" x14ac:dyDescent="0.25">
      <c r="A319" s="12"/>
      <c r="B319" s="12"/>
      <c r="C319" s="12"/>
      <c r="D319" s="12"/>
      <c r="E319" s="41"/>
      <c r="F319" s="12"/>
    </row>
    <row r="320" spans="1:6" x14ac:dyDescent="0.25">
      <c r="A320" s="12"/>
      <c r="B320" s="12"/>
      <c r="C320" s="12"/>
      <c r="D320" s="12"/>
      <c r="E320" s="41"/>
      <c r="F320" s="12"/>
    </row>
    <row r="321" spans="1:6" x14ac:dyDescent="0.25">
      <c r="A321" s="12"/>
      <c r="B321" s="12"/>
      <c r="C321" s="12"/>
      <c r="D321" s="12"/>
      <c r="E321" s="41"/>
      <c r="F321" s="12"/>
    </row>
    <row r="322" spans="1:6" x14ac:dyDescent="0.25">
      <c r="A322" s="12"/>
      <c r="B322" s="12"/>
      <c r="C322" s="12"/>
      <c r="D322" s="12"/>
      <c r="E322" s="41"/>
      <c r="F322" s="12"/>
    </row>
    <row r="323" spans="1:6" x14ac:dyDescent="0.25">
      <c r="A323" s="12"/>
      <c r="B323" s="12"/>
      <c r="C323" s="12"/>
      <c r="D323" s="12"/>
      <c r="E323" s="41"/>
      <c r="F323" s="12"/>
    </row>
    <row r="324" spans="1:6" x14ac:dyDescent="0.25">
      <c r="A324" s="12"/>
      <c r="B324" s="12"/>
      <c r="C324" s="12"/>
      <c r="D324" s="12"/>
      <c r="E324" s="41"/>
      <c r="F324" s="12"/>
    </row>
    <row r="325" spans="1:6" x14ac:dyDescent="0.25">
      <c r="A325" s="12"/>
      <c r="B325" s="12"/>
      <c r="C325" s="12"/>
      <c r="D325" s="12"/>
      <c r="E325" s="41"/>
      <c r="F325" s="12"/>
    </row>
    <row r="326" spans="1:6" x14ac:dyDescent="0.25">
      <c r="A326" s="12"/>
      <c r="B326" s="12"/>
      <c r="C326" s="12"/>
      <c r="D326" s="12"/>
      <c r="E326" s="41"/>
      <c r="F326" s="12"/>
    </row>
    <row r="327" spans="1:6" x14ac:dyDescent="0.25">
      <c r="A327" s="12"/>
      <c r="B327" s="12"/>
      <c r="C327" s="12"/>
      <c r="D327" s="12"/>
      <c r="E327" s="41"/>
      <c r="F327" s="12"/>
    </row>
    <row r="328" spans="1:6" x14ac:dyDescent="0.25">
      <c r="A328" s="12"/>
      <c r="B328" s="12"/>
      <c r="C328" s="12"/>
      <c r="D328" s="12"/>
      <c r="E328" s="41"/>
      <c r="F328" s="12"/>
    </row>
    <row r="329" spans="1:6" x14ac:dyDescent="0.25">
      <c r="A329" s="12"/>
      <c r="B329" s="12"/>
      <c r="C329" s="12"/>
      <c r="D329" s="12"/>
      <c r="E329" s="41"/>
      <c r="F329" s="12"/>
    </row>
    <row r="330" spans="1:6" x14ac:dyDescent="0.25">
      <c r="A330" s="12"/>
      <c r="B330" s="12"/>
      <c r="C330" s="12"/>
      <c r="D330" s="12"/>
      <c r="E330" s="41"/>
      <c r="F330" s="12"/>
    </row>
    <row r="331" spans="1:6" x14ac:dyDescent="0.25">
      <c r="A331" s="12"/>
      <c r="B331" s="12"/>
      <c r="C331" s="12"/>
      <c r="D331" s="12"/>
      <c r="E331" s="41"/>
      <c r="F331" s="12"/>
    </row>
    <row r="332" spans="1:6" x14ac:dyDescent="0.25">
      <c r="A332" s="12"/>
      <c r="B332" s="12"/>
      <c r="C332" s="12"/>
      <c r="D332" s="12"/>
      <c r="E332" s="41"/>
      <c r="F332" s="12"/>
    </row>
    <row r="333" spans="1:6" x14ac:dyDescent="0.25">
      <c r="A333" s="12"/>
      <c r="B333" s="12"/>
      <c r="C333" s="12"/>
      <c r="D333" s="12"/>
      <c r="E333" s="41"/>
      <c r="F333" s="12"/>
    </row>
    <row r="334" spans="1:6" x14ac:dyDescent="0.25">
      <c r="A334" s="12"/>
      <c r="B334" s="12"/>
      <c r="C334" s="12"/>
      <c r="D334" s="12"/>
      <c r="E334" s="41"/>
      <c r="F334" s="12"/>
    </row>
    <row r="335" spans="1:6" x14ac:dyDescent="0.25">
      <c r="A335" s="12"/>
      <c r="B335" s="12"/>
      <c r="C335" s="12"/>
      <c r="D335" s="12"/>
      <c r="E335" s="41"/>
      <c r="F335" s="12"/>
    </row>
    <row r="336" spans="1:6" x14ac:dyDescent="0.25">
      <c r="A336" s="12"/>
      <c r="B336" s="12"/>
      <c r="C336" s="12"/>
      <c r="D336" s="12"/>
      <c r="E336" s="41"/>
      <c r="F336" s="12"/>
    </row>
    <row r="337" spans="1:6" x14ac:dyDescent="0.25">
      <c r="A337" s="12"/>
      <c r="B337" s="12"/>
      <c r="C337" s="12"/>
      <c r="D337" s="12"/>
      <c r="E337" s="41"/>
      <c r="F337" s="12"/>
    </row>
    <row r="338" spans="1:6" x14ac:dyDescent="0.25">
      <c r="A338" s="12"/>
      <c r="B338" s="12"/>
      <c r="C338" s="12"/>
      <c r="D338" s="12"/>
      <c r="E338" s="41"/>
      <c r="F338" s="12"/>
    </row>
    <row r="339" spans="1:6" x14ac:dyDescent="0.25">
      <c r="A339" s="12"/>
      <c r="B339" s="12"/>
      <c r="C339" s="12"/>
      <c r="D339" s="12"/>
      <c r="E339" s="41"/>
      <c r="F339" s="12"/>
    </row>
    <row r="340" spans="1:6" x14ac:dyDescent="0.25">
      <c r="A340" s="12"/>
      <c r="B340" s="12"/>
      <c r="C340" s="12"/>
      <c r="D340" s="12"/>
      <c r="E340" s="41"/>
      <c r="F340" s="12"/>
    </row>
    <row r="341" spans="1:6" x14ac:dyDescent="0.25">
      <c r="A341" s="12"/>
      <c r="B341" s="12"/>
      <c r="C341" s="12"/>
      <c r="D341" s="12"/>
      <c r="E341" s="41"/>
      <c r="F341" s="12"/>
    </row>
    <row r="342" spans="1:6" x14ac:dyDescent="0.25">
      <c r="A342" s="12"/>
      <c r="B342" s="12"/>
      <c r="C342" s="12"/>
      <c r="D342" s="12"/>
      <c r="E342" s="41"/>
      <c r="F342" s="12"/>
    </row>
    <row r="343" spans="1:6" x14ac:dyDescent="0.25">
      <c r="A343" s="12"/>
      <c r="B343" s="12"/>
      <c r="C343" s="12"/>
      <c r="D343" s="12"/>
      <c r="E343" s="41"/>
      <c r="F343" s="12"/>
    </row>
    <row r="344" spans="1:6" x14ac:dyDescent="0.25">
      <c r="A344" s="12"/>
      <c r="B344" s="12"/>
      <c r="C344" s="12"/>
      <c r="D344" s="12"/>
      <c r="E344" s="41"/>
      <c r="F344" s="12"/>
    </row>
    <row r="345" spans="1:6" x14ac:dyDescent="0.25">
      <c r="A345" s="12"/>
      <c r="B345" s="12"/>
      <c r="C345" s="12"/>
      <c r="D345" s="12"/>
      <c r="E345" s="41"/>
      <c r="F345" s="12"/>
    </row>
    <row r="346" spans="1:6" x14ac:dyDescent="0.25">
      <c r="A346" s="12"/>
      <c r="B346" s="12"/>
      <c r="C346" s="12"/>
      <c r="D346" s="12"/>
      <c r="E346" s="41"/>
      <c r="F346" s="12"/>
    </row>
    <row r="347" spans="1:6" x14ac:dyDescent="0.25">
      <c r="A347" s="12"/>
      <c r="B347" s="12"/>
      <c r="C347" s="12"/>
      <c r="D347" s="12"/>
      <c r="E347" s="41"/>
      <c r="F347" s="12"/>
    </row>
    <row r="348" spans="1:6" x14ac:dyDescent="0.25">
      <c r="A348" s="12"/>
      <c r="B348" s="12"/>
      <c r="C348" s="12"/>
      <c r="D348" s="12"/>
      <c r="E348" s="41"/>
      <c r="F348" s="12"/>
    </row>
    <row r="349" spans="1:6" x14ac:dyDescent="0.25">
      <c r="A349" s="12"/>
      <c r="B349" s="12"/>
      <c r="C349" s="12"/>
      <c r="D349" s="12"/>
      <c r="E349" s="41"/>
      <c r="F349" s="12"/>
    </row>
    <row r="350" spans="1:6" x14ac:dyDescent="0.25">
      <c r="A350" s="12"/>
      <c r="B350" s="12"/>
      <c r="C350" s="12"/>
      <c r="D350" s="12"/>
      <c r="E350" s="41"/>
      <c r="F350" s="12"/>
    </row>
    <row r="351" spans="1:6" x14ac:dyDescent="0.25">
      <c r="A351" s="12"/>
      <c r="B351" s="12"/>
      <c r="C351" s="12"/>
      <c r="D351" s="12"/>
      <c r="E351" s="41"/>
      <c r="F351" s="12"/>
    </row>
    <row r="352" spans="1:6" x14ac:dyDescent="0.25">
      <c r="A352" s="12"/>
      <c r="B352" s="12"/>
      <c r="C352" s="12"/>
      <c r="D352" s="12"/>
      <c r="E352" s="41"/>
      <c r="F352" s="12"/>
    </row>
    <row r="353" spans="1:6" x14ac:dyDescent="0.25">
      <c r="A353" s="12"/>
      <c r="B353" s="12"/>
      <c r="C353" s="12"/>
      <c r="D353" s="12"/>
      <c r="E353" s="41"/>
      <c r="F353" s="12"/>
    </row>
    <row r="354" spans="1:6" x14ac:dyDescent="0.25">
      <c r="A354" s="12"/>
      <c r="B354" s="12"/>
      <c r="C354" s="12"/>
      <c r="D354" s="12"/>
      <c r="E354" s="41"/>
      <c r="F354" s="12"/>
    </row>
    <row r="355" spans="1:6" x14ac:dyDescent="0.25">
      <c r="A355" s="12"/>
      <c r="B355" s="12"/>
      <c r="C355" s="12"/>
      <c r="D355" s="12"/>
      <c r="E355" s="41"/>
      <c r="F355" s="12"/>
    </row>
    <row r="356" spans="1:6" x14ac:dyDescent="0.25">
      <c r="A356" s="12"/>
      <c r="B356" s="12"/>
      <c r="C356" s="12"/>
      <c r="D356" s="12"/>
      <c r="E356" s="41"/>
      <c r="F356" s="12"/>
    </row>
    <row r="357" spans="1:6" x14ac:dyDescent="0.25">
      <c r="A357" s="12"/>
      <c r="B357" s="12"/>
      <c r="C357" s="12"/>
      <c r="D357" s="12"/>
      <c r="E357" s="41"/>
      <c r="F357" s="12"/>
    </row>
    <row r="358" spans="1:6" x14ac:dyDescent="0.25">
      <c r="A358" s="12"/>
      <c r="B358" s="12"/>
      <c r="C358" s="12"/>
      <c r="D358" s="12"/>
      <c r="E358" s="41"/>
      <c r="F358" s="12"/>
    </row>
    <row r="359" spans="1:6" x14ac:dyDescent="0.25">
      <c r="A359" s="12"/>
      <c r="B359" s="12"/>
      <c r="C359" s="12"/>
      <c r="D359" s="12"/>
      <c r="E359" s="41"/>
      <c r="F359" s="12"/>
    </row>
    <row r="360" spans="1:6" x14ac:dyDescent="0.25">
      <c r="A360" s="12"/>
      <c r="B360" s="12"/>
      <c r="C360" s="12"/>
      <c r="D360" s="12"/>
      <c r="E360" s="41"/>
      <c r="F360" s="12"/>
    </row>
    <row r="361" spans="1:6" x14ac:dyDescent="0.25">
      <c r="A361" s="12"/>
      <c r="B361" s="12"/>
      <c r="C361" s="12"/>
      <c r="D361" s="12"/>
      <c r="E361" s="41"/>
      <c r="F361" s="12"/>
    </row>
    <row r="362" spans="1:6" x14ac:dyDescent="0.25">
      <c r="A362" s="12"/>
      <c r="B362" s="12"/>
      <c r="C362" s="12"/>
      <c r="D362" s="12"/>
      <c r="E362" s="41"/>
      <c r="F362" s="12"/>
    </row>
    <row r="363" spans="1:6" x14ac:dyDescent="0.25">
      <c r="A363" s="12"/>
      <c r="B363" s="12"/>
      <c r="C363" s="12"/>
      <c r="D363" s="12"/>
      <c r="E363" s="41"/>
      <c r="F363" s="12"/>
    </row>
    <row r="364" spans="1:6" x14ac:dyDescent="0.25">
      <c r="A364" s="12"/>
      <c r="B364" s="12"/>
      <c r="C364" s="12"/>
      <c r="D364" s="12"/>
      <c r="E364" s="41"/>
      <c r="F364" s="12"/>
    </row>
    <row r="365" spans="1:6" x14ac:dyDescent="0.25">
      <c r="A365" s="12"/>
      <c r="B365" s="12"/>
      <c r="C365" s="12"/>
      <c r="D365" s="12"/>
      <c r="E365" s="41"/>
      <c r="F365" s="12"/>
    </row>
    <row r="366" spans="1:6" x14ac:dyDescent="0.25">
      <c r="A366" s="12"/>
      <c r="B366" s="12"/>
      <c r="C366" s="12"/>
      <c r="D366" s="12"/>
      <c r="E366" s="41"/>
      <c r="F366" s="12"/>
    </row>
    <row r="367" spans="1:6" x14ac:dyDescent="0.25">
      <c r="A367" s="12"/>
      <c r="B367" s="12"/>
      <c r="C367" s="12"/>
      <c r="D367" s="12"/>
      <c r="E367" s="41"/>
      <c r="F367" s="12"/>
    </row>
    <row r="368" spans="1:6" x14ac:dyDescent="0.25">
      <c r="A368" s="12"/>
      <c r="B368" s="12"/>
      <c r="C368" s="12"/>
      <c r="D368" s="12"/>
      <c r="E368" s="41"/>
      <c r="F368" s="12"/>
    </row>
    <row r="369" spans="1:6" x14ac:dyDescent="0.25">
      <c r="A369" s="12"/>
      <c r="B369" s="12"/>
      <c r="C369" s="12"/>
      <c r="D369" s="12"/>
      <c r="E369" s="41"/>
      <c r="F369" s="12"/>
    </row>
    <row r="370" spans="1:6" x14ac:dyDescent="0.25">
      <c r="A370" s="12"/>
      <c r="B370" s="12"/>
      <c r="C370" s="12"/>
      <c r="D370" s="12"/>
      <c r="E370" s="41"/>
      <c r="F370" s="12"/>
    </row>
    <row r="371" spans="1:6" x14ac:dyDescent="0.25">
      <c r="A371" s="12"/>
      <c r="B371" s="12"/>
      <c r="C371" s="12"/>
      <c r="D371" s="12"/>
      <c r="E371" s="41"/>
      <c r="F371" s="12"/>
    </row>
    <row r="372" spans="1:6" x14ac:dyDescent="0.25">
      <c r="A372" s="12"/>
      <c r="B372" s="12"/>
      <c r="C372" s="12"/>
      <c r="D372" s="12"/>
      <c r="E372" s="41"/>
      <c r="F372" s="12"/>
    </row>
    <row r="373" spans="1:6" x14ac:dyDescent="0.25">
      <c r="A373" s="12"/>
      <c r="B373" s="12"/>
      <c r="C373" s="12"/>
      <c r="D373" s="12"/>
      <c r="E373" s="41"/>
      <c r="F373" s="12"/>
    </row>
    <row r="374" spans="1:6" x14ac:dyDescent="0.25">
      <c r="A374" s="12"/>
      <c r="B374" s="12"/>
      <c r="C374" s="12"/>
      <c r="D374" s="12"/>
      <c r="E374" s="41"/>
      <c r="F374" s="12"/>
    </row>
    <row r="375" spans="1:6" x14ac:dyDescent="0.25">
      <c r="A375" s="12"/>
      <c r="B375" s="12"/>
      <c r="C375" s="12"/>
      <c r="D375" s="12"/>
      <c r="E375" s="41"/>
      <c r="F375" s="12"/>
    </row>
    <row r="376" spans="1:6" x14ac:dyDescent="0.25">
      <c r="A376" s="12"/>
      <c r="B376" s="12"/>
      <c r="C376" s="12"/>
      <c r="D376" s="12"/>
      <c r="E376" s="41"/>
      <c r="F376" s="12"/>
    </row>
    <row r="377" spans="1:6" x14ac:dyDescent="0.25">
      <c r="A377" s="12"/>
      <c r="B377" s="12"/>
      <c r="C377" s="12"/>
      <c r="D377" s="12"/>
      <c r="E377" s="41"/>
      <c r="F377" s="12"/>
    </row>
    <row r="378" spans="1:6" x14ac:dyDescent="0.25">
      <c r="A378" s="12"/>
      <c r="B378" s="12"/>
      <c r="C378" s="12"/>
      <c r="D378" s="12"/>
      <c r="E378" s="41"/>
      <c r="F378" s="12"/>
    </row>
    <row r="379" spans="1:6" x14ac:dyDescent="0.25">
      <c r="A379" s="12"/>
      <c r="B379" s="12"/>
      <c r="C379" s="12"/>
      <c r="D379" s="12"/>
      <c r="E379" s="41"/>
      <c r="F379" s="12"/>
    </row>
    <row r="380" spans="1:6" x14ac:dyDescent="0.25">
      <c r="A380" s="12"/>
      <c r="B380" s="12"/>
      <c r="C380" s="12"/>
      <c r="D380" s="12"/>
      <c r="E380" s="41"/>
      <c r="F380" s="12"/>
    </row>
    <row r="381" spans="1:6" x14ac:dyDescent="0.25">
      <c r="A381" s="12"/>
      <c r="B381" s="12"/>
      <c r="C381" s="12"/>
      <c r="D381" s="12"/>
      <c r="E381" s="41"/>
      <c r="F381" s="12"/>
    </row>
    <row r="382" spans="1:6" x14ac:dyDescent="0.25">
      <c r="A382" s="12"/>
      <c r="B382" s="12"/>
      <c r="C382" s="12"/>
      <c r="D382" s="12"/>
      <c r="E382" s="41"/>
      <c r="F382" s="12"/>
    </row>
    <row r="383" spans="1:6" x14ac:dyDescent="0.25">
      <c r="A383" s="12"/>
      <c r="B383" s="12"/>
      <c r="C383" s="12"/>
      <c r="D383" s="12"/>
      <c r="E383" s="41"/>
      <c r="F383" s="12"/>
    </row>
    <row r="384" spans="1:6" x14ac:dyDescent="0.25">
      <c r="A384" s="12"/>
      <c r="B384" s="12"/>
      <c r="C384" s="12"/>
      <c r="D384" s="12"/>
      <c r="E384" s="41"/>
      <c r="F384" s="12"/>
    </row>
    <row r="385" spans="1:6" x14ac:dyDescent="0.25">
      <c r="A385" s="12"/>
      <c r="B385" s="12"/>
      <c r="C385" s="12"/>
      <c r="D385" s="12"/>
      <c r="E385" s="41"/>
      <c r="F385" s="12"/>
    </row>
    <row r="386" spans="1:6" x14ac:dyDescent="0.25">
      <c r="A386" s="12"/>
      <c r="B386" s="12"/>
      <c r="C386" s="12"/>
      <c r="D386" s="12"/>
      <c r="E386" s="41"/>
      <c r="F386" s="12"/>
    </row>
    <row r="387" spans="1:6" x14ac:dyDescent="0.25">
      <c r="A387" s="12"/>
      <c r="B387" s="12"/>
      <c r="C387" s="12"/>
      <c r="D387" s="12"/>
      <c r="E387" s="41"/>
      <c r="F387" s="12"/>
    </row>
    <row r="388" spans="1:6" x14ac:dyDescent="0.25">
      <c r="A388" s="12"/>
      <c r="B388" s="12"/>
      <c r="C388" s="12"/>
      <c r="D388" s="12"/>
      <c r="E388" s="41"/>
      <c r="F388" s="12"/>
    </row>
    <row r="389" spans="1:6" x14ac:dyDescent="0.25">
      <c r="A389" s="12"/>
      <c r="B389" s="12"/>
      <c r="C389" s="12"/>
      <c r="D389" s="12"/>
      <c r="E389" s="41"/>
      <c r="F389" s="12"/>
    </row>
    <row r="390" spans="1:6" x14ac:dyDescent="0.25">
      <c r="A390" s="12"/>
      <c r="B390" s="12"/>
      <c r="C390" s="12"/>
      <c r="D390" s="12"/>
      <c r="E390" s="41"/>
      <c r="F390" s="12"/>
    </row>
    <row r="391" spans="1:6" x14ac:dyDescent="0.25">
      <c r="A391" s="12"/>
      <c r="B391" s="12"/>
      <c r="C391" s="12"/>
      <c r="D391" s="12"/>
      <c r="E391" s="41"/>
      <c r="F391" s="12"/>
    </row>
    <row r="392" spans="1:6" x14ac:dyDescent="0.25">
      <c r="A392" s="12"/>
      <c r="B392" s="12"/>
      <c r="C392" s="12"/>
      <c r="D392" s="12"/>
      <c r="E392" s="41"/>
      <c r="F392" s="12"/>
    </row>
    <row r="393" spans="1:6" x14ac:dyDescent="0.25">
      <c r="A393" s="12"/>
      <c r="B393" s="12"/>
      <c r="C393" s="12"/>
      <c r="D393" s="12"/>
      <c r="E393" s="41"/>
      <c r="F393" s="12"/>
    </row>
    <row r="394" spans="1:6" x14ac:dyDescent="0.25">
      <c r="A394" s="12"/>
      <c r="B394" s="12"/>
      <c r="C394" s="12"/>
      <c r="D394" s="12"/>
      <c r="E394" s="41"/>
      <c r="F394" s="12"/>
    </row>
    <row r="395" spans="1:6" x14ac:dyDescent="0.25">
      <c r="A395" s="12"/>
      <c r="B395" s="12"/>
      <c r="C395" s="12"/>
      <c r="D395" s="12"/>
      <c r="E395" s="41"/>
      <c r="F395" s="12"/>
    </row>
    <row r="396" spans="1:6" x14ac:dyDescent="0.25">
      <c r="A396" s="12"/>
      <c r="B396" s="12"/>
      <c r="C396" s="12"/>
      <c r="D396" s="12"/>
      <c r="E396" s="41"/>
      <c r="F396" s="12"/>
    </row>
    <row r="397" spans="1:6" x14ac:dyDescent="0.25">
      <c r="A397" s="12"/>
      <c r="B397" s="12"/>
      <c r="C397" s="12"/>
      <c r="D397" s="12"/>
      <c r="E397" s="41"/>
      <c r="F397" s="12"/>
    </row>
    <row r="398" spans="1:6" x14ac:dyDescent="0.25">
      <c r="A398" s="12"/>
      <c r="B398" s="12"/>
      <c r="C398" s="12"/>
      <c r="D398" s="12"/>
      <c r="E398" s="41"/>
      <c r="F398" s="12"/>
    </row>
    <row r="399" spans="1:6" x14ac:dyDescent="0.25">
      <c r="A399" s="12"/>
      <c r="B399" s="12"/>
      <c r="C399" s="12"/>
      <c r="D399" s="12"/>
      <c r="E399" s="41"/>
      <c r="F399" s="12"/>
    </row>
    <row r="400" spans="1:6" x14ac:dyDescent="0.25">
      <c r="A400" s="12"/>
      <c r="B400" s="12"/>
      <c r="C400" s="12"/>
      <c r="D400" s="12"/>
      <c r="E400" s="41"/>
      <c r="F400" s="12"/>
    </row>
    <row r="401" spans="1:6" x14ac:dyDescent="0.25">
      <c r="A401" s="12"/>
      <c r="B401" s="12"/>
      <c r="C401" s="12"/>
      <c r="D401" s="12"/>
      <c r="E401" s="41"/>
      <c r="F401" s="12"/>
    </row>
    <row r="402" spans="1:6" x14ac:dyDescent="0.25">
      <c r="A402" s="12"/>
      <c r="B402" s="12"/>
      <c r="C402" s="12"/>
      <c r="D402" s="12"/>
      <c r="E402" s="41"/>
      <c r="F402" s="12"/>
    </row>
    <row r="403" spans="1:6" x14ac:dyDescent="0.25">
      <c r="A403" s="12"/>
      <c r="B403" s="12"/>
      <c r="C403" s="12"/>
      <c r="D403" s="12"/>
      <c r="E403" s="41"/>
      <c r="F403" s="12"/>
    </row>
    <row r="404" spans="1:6" x14ac:dyDescent="0.25">
      <c r="A404" s="12"/>
      <c r="B404" s="12"/>
      <c r="C404" s="12"/>
      <c r="D404" s="12"/>
      <c r="E404" s="41"/>
      <c r="F404" s="12"/>
    </row>
    <row r="405" spans="1:6" x14ac:dyDescent="0.25">
      <c r="A405" s="12"/>
      <c r="B405" s="12"/>
      <c r="C405" s="12"/>
      <c r="D405" s="12"/>
      <c r="E405" s="41"/>
      <c r="F405" s="12"/>
    </row>
    <row r="406" spans="1:6" x14ac:dyDescent="0.25">
      <c r="A406" s="12"/>
      <c r="B406" s="12"/>
      <c r="C406" s="12"/>
      <c r="D406" s="12"/>
      <c r="E406" s="41"/>
      <c r="F406" s="12"/>
    </row>
    <row r="407" spans="1:6" x14ac:dyDescent="0.25">
      <c r="A407" s="12"/>
      <c r="B407" s="12"/>
      <c r="C407" s="12"/>
      <c r="D407" s="12"/>
      <c r="E407" s="41"/>
      <c r="F407" s="12"/>
    </row>
    <row r="408" spans="1:6" x14ac:dyDescent="0.25">
      <c r="A408" s="12"/>
      <c r="B408" s="12"/>
      <c r="C408" s="12"/>
      <c r="D408" s="12"/>
      <c r="E408" s="41"/>
      <c r="F408" s="12"/>
    </row>
    <row r="409" spans="1:6" x14ac:dyDescent="0.25">
      <c r="A409" s="12"/>
      <c r="B409" s="12"/>
      <c r="C409" s="12"/>
      <c r="D409" s="12"/>
      <c r="E409" s="41"/>
      <c r="F409" s="12"/>
    </row>
    <row r="410" spans="1:6" x14ac:dyDescent="0.25">
      <c r="A410" s="12"/>
      <c r="B410" s="12"/>
      <c r="C410" s="12"/>
      <c r="D410" s="12"/>
      <c r="E410" s="41"/>
      <c r="F410" s="12"/>
    </row>
    <row r="411" spans="1:6" x14ac:dyDescent="0.25">
      <c r="A411" s="12"/>
      <c r="B411" s="12"/>
      <c r="C411" s="12"/>
      <c r="D411" s="12"/>
      <c r="E411" s="41"/>
      <c r="F411" s="12"/>
    </row>
    <row r="412" spans="1:6" x14ac:dyDescent="0.25">
      <c r="A412" s="12"/>
      <c r="B412" s="12"/>
      <c r="C412" s="12"/>
      <c r="D412" s="12"/>
      <c r="E412" s="41"/>
      <c r="F412" s="12"/>
    </row>
    <row r="413" spans="1:6" x14ac:dyDescent="0.25">
      <c r="A413" s="12"/>
      <c r="B413" s="12"/>
      <c r="C413" s="12"/>
      <c r="D413" s="12"/>
      <c r="E413" s="41"/>
      <c r="F413" s="12"/>
    </row>
    <row r="414" spans="1:6" x14ac:dyDescent="0.25">
      <c r="A414" s="12"/>
      <c r="B414" s="12"/>
      <c r="C414" s="12"/>
      <c r="D414" s="12"/>
      <c r="E414" s="41"/>
      <c r="F414" s="12"/>
    </row>
    <row r="415" spans="1:6" x14ac:dyDescent="0.25">
      <c r="A415" s="12"/>
      <c r="B415" s="12"/>
      <c r="C415" s="12"/>
      <c r="D415" s="12"/>
      <c r="E415" s="41"/>
      <c r="F415" s="12"/>
    </row>
    <row r="416" spans="1:6" x14ac:dyDescent="0.25">
      <c r="A416" s="12"/>
      <c r="B416" s="12"/>
      <c r="C416" s="12"/>
      <c r="D416" s="12"/>
      <c r="E416" s="41"/>
      <c r="F416" s="12"/>
    </row>
    <row r="417" spans="1:6" x14ac:dyDescent="0.25">
      <c r="A417" s="12"/>
      <c r="B417" s="12"/>
      <c r="C417" s="12"/>
      <c r="D417" s="12"/>
      <c r="E417" s="41"/>
      <c r="F417" s="12"/>
    </row>
    <row r="418" spans="1:6" x14ac:dyDescent="0.25">
      <c r="A418" s="12"/>
      <c r="B418" s="12"/>
      <c r="C418" s="12"/>
      <c r="D418" s="12"/>
      <c r="E418" s="41"/>
      <c r="F418" s="12"/>
    </row>
    <row r="419" spans="1:6" x14ac:dyDescent="0.25">
      <c r="A419" s="12"/>
      <c r="B419" s="12"/>
      <c r="C419" s="12"/>
      <c r="D419" s="12"/>
      <c r="E419" s="41"/>
      <c r="F419" s="12"/>
    </row>
    <row r="420" spans="1:6" x14ac:dyDescent="0.25">
      <c r="A420" s="12"/>
      <c r="B420" s="12"/>
      <c r="C420" s="12"/>
      <c r="D420" s="12"/>
      <c r="E420" s="41"/>
      <c r="F420" s="12"/>
    </row>
    <row r="421" spans="1:6" x14ac:dyDescent="0.25">
      <c r="A421" s="12"/>
      <c r="B421" s="12"/>
      <c r="C421" s="12"/>
      <c r="D421" s="12"/>
      <c r="E421" s="41"/>
      <c r="F421" s="12"/>
    </row>
    <row r="422" spans="1:6" x14ac:dyDescent="0.25">
      <c r="A422" s="12"/>
      <c r="B422" s="12"/>
      <c r="C422" s="12"/>
      <c r="D422" s="12"/>
      <c r="E422" s="41"/>
      <c r="F422" s="12"/>
    </row>
    <row r="423" spans="1:6" x14ac:dyDescent="0.25">
      <c r="A423" s="12"/>
      <c r="B423" s="12"/>
      <c r="C423" s="12"/>
      <c r="D423" s="12"/>
      <c r="E423" s="41"/>
      <c r="F423" s="12"/>
    </row>
    <row r="424" spans="1:6" x14ac:dyDescent="0.25">
      <c r="A424" s="12"/>
      <c r="B424" s="12"/>
      <c r="C424" s="12"/>
      <c r="D424" s="12"/>
      <c r="E424" s="41"/>
      <c r="F424" s="12"/>
    </row>
    <row r="425" spans="1:6" x14ac:dyDescent="0.25">
      <c r="A425" s="12"/>
      <c r="B425" s="12"/>
      <c r="C425" s="12"/>
      <c r="D425" s="12"/>
      <c r="E425" s="41"/>
      <c r="F425" s="12"/>
    </row>
    <row r="426" spans="1:6" x14ac:dyDescent="0.25">
      <c r="A426" s="12"/>
      <c r="B426" s="12"/>
      <c r="C426" s="12"/>
      <c r="D426" s="12"/>
      <c r="E426" s="41"/>
      <c r="F426" s="12"/>
    </row>
    <row r="427" spans="1:6" x14ac:dyDescent="0.25">
      <c r="A427" s="12"/>
      <c r="B427" s="12"/>
      <c r="C427" s="12"/>
      <c r="D427" s="12"/>
      <c r="E427" s="41"/>
      <c r="F427" s="12"/>
    </row>
    <row r="428" spans="1:6" x14ac:dyDescent="0.25">
      <c r="A428" s="12"/>
      <c r="B428" s="12"/>
      <c r="C428" s="12"/>
      <c r="D428" s="12"/>
      <c r="E428" s="41"/>
      <c r="F428" s="12"/>
    </row>
    <row r="429" spans="1:6" x14ac:dyDescent="0.25">
      <c r="A429" s="12"/>
      <c r="B429" s="12"/>
      <c r="C429" s="12"/>
      <c r="D429" s="12"/>
      <c r="E429" s="41"/>
      <c r="F429" s="12"/>
    </row>
    <row r="430" spans="1:6" x14ac:dyDescent="0.25">
      <c r="A430" s="12"/>
      <c r="B430" s="12"/>
      <c r="C430" s="12"/>
      <c r="D430" s="12"/>
      <c r="E430" s="41"/>
      <c r="F430" s="12"/>
    </row>
    <row r="431" spans="1:6" x14ac:dyDescent="0.25">
      <c r="A431" s="12"/>
      <c r="B431" s="12"/>
      <c r="C431" s="12"/>
      <c r="D431" s="12"/>
      <c r="E431" s="41"/>
      <c r="F431" s="12"/>
    </row>
    <row r="432" spans="1:6" x14ac:dyDescent="0.25">
      <c r="A432" s="12"/>
      <c r="B432" s="12"/>
      <c r="C432" s="12"/>
      <c r="D432" s="12"/>
      <c r="E432" s="41"/>
      <c r="F432" s="12"/>
    </row>
    <row r="433" spans="1:6" x14ac:dyDescent="0.25">
      <c r="A433" s="12"/>
      <c r="B433" s="12"/>
      <c r="C433" s="12"/>
      <c r="D433" s="12"/>
      <c r="E433" s="41"/>
      <c r="F433" s="12"/>
    </row>
    <row r="434" spans="1:6" x14ac:dyDescent="0.25">
      <c r="A434" s="12"/>
      <c r="B434" s="12"/>
      <c r="C434" s="12"/>
      <c r="D434" s="12"/>
      <c r="E434" s="41"/>
      <c r="F434" s="12"/>
    </row>
    <row r="435" spans="1:6" x14ac:dyDescent="0.25">
      <c r="A435" s="12"/>
      <c r="B435" s="12"/>
      <c r="C435" s="12"/>
      <c r="D435" s="12"/>
      <c r="E435" s="41"/>
      <c r="F435" s="12"/>
    </row>
    <row r="436" spans="1:6" x14ac:dyDescent="0.25">
      <c r="A436" s="12"/>
      <c r="B436" s="12"/>
      <c r="C436" s="12"/>
      <c r="D436" s="12"/>
      <c r="E436" s="41"/>
      <c r="F436" s="12"/>
    </row>
    <row r="437" spans="1:6" x14ac:dyDescent="0.25">
      <c r="A437" s="12"/>
      <c r="B437" s="12"/>
      <c r="C437" s="12"/>
      <c r="D437" s="12"/>
      <c r="E437" s="41"/>
      <c r="F437" s="12"/>
    </row>
    <row r="438" spans="1:6" x14ac:dyDescent="0.25">
      <c r="A438" s="12"/>
      <c r="B438" s="12"/>
      <c r="C438" s="12"/>
      <c r="D438" s="12"/>
      <c r="E438" s="41"/>
      <c r="F438" s="12"/>
    </row>
    <row r="439" spans="1:6" x14ac:dyDescent="0.25">
      <c r="A439" s="12"/>
      <c r="B439" s="12"/>
      <c r="C439" s="12"/>
      <c r="D439" s="12"/>
      <c r="E439" s="41"/>
      <c r="F439" s="12"/>
    </row>
    <row r="440" spans="1:6" x14ac:dyDescent="0.25">
      <c r="A440" s="12"/>
      <c r="B440" s="12"/>
      <c r="C440" s="12"/>
      <c r="D440" s="12"/>
      <c r="E440" s="41"/>
      <c r="F440" s="12"/>
    </row>
    <row r="441" spans="1:6" x14ac:dyDescent="0.25">
      <c r="A441" s="12"/>
      <c r="B441" s="12"/>
      <c r="C441" s="12"/>
      <c r="D441" s="12"/>
      <c r="E441" s="41"/>
      <c r="F441" s="12"/>
    </row>
    <row r="442" spans="1:6" x14ac:dyDescent="0.25">
      <c r="A442" s="12"/>
      <c r="B442" s="12"/>
      <c r="C442" s="12"/>
      <c r="D442" s="12"/>
      <c r="E442" s="41"/>
      <c r="F442" s="12"/>
    </row>
    <row r="443" spans="1:6" x14ac:dyDescent="0.25">
      <c r="A443" s="12"/>
      <c r="B443" s="12"/>
      <c r="C443" s="12"/>
      <c r="D443" s="12"/>
      <c r="E443" s="41"/>
      <c r="F443" s="12"/>
    </row>
    <row r="444" spans="1:6" x14ac:dyDescent="0.25">
      <c r="A444" s="12"/>
      <c r="B444" s="12"/>
      <c r="C444" s="12"/>
      <c r="D444" s="12"/>
      <c r="E444" s="41"/>
      <c r="F444" s="12"/>
    </row>
    <row r="445" spans="1:6" x14ac:dyDescent="0.25">
      <c r="A445" s="12"/>
      <c r="B445" s="12"/>
      <c r="C445" s="12"/>
      <c r="D445" s="12"/>
      <c r="E445" s="41"/>
      <c r="F445" s="12"/>
    </row>
    <row r="446" spans="1:6" x14ac:dyDescent="0.25">
      <c r="A446" s="12"/>
      <c r="B446" s="12"/>
      <c r="C446" s="12"/>
      <c r="D446" s="12"/>
      <c r="E446" s="41"/>
      <c r="F446" s="12"/>
    </row>
    <row r="447" spans="1:6" x14ac:dyDescent="0.25">
      <c r="A447" s="12"/>
      <c r="B447" s="12"/>
      <c r="C447" s="12"/>
      <c r="D447" s="12"/>
      <c r="E447" s="41"/>
      <c r="F447" s="12"/>
    </row>
    <row r="448" spans="1:6" x14ac:dyDescent="0.25">
      <c r="A448" s="12"/>
      <c r="B448" s="12"/>
      <c r="C448" s="12"/>
      <c r="D448" s="12"/>
      <c r="E448" s="41"/>
      <c r="F448" s="12"/>
    </row>
    <row r="449" spans="1:6" x14ac:dyDescent="0.25">
      <c r="A449" s="12"/>
      <c r="B449" s="12"/>
      <c r="C449" s="12"/>
      <c r="D449" s="12"/>
      <c r="E449" s="41"/>
      <c r="F449" s="12"/>
    </row>
    <row r="450" spans="1:6" x14ac:dyDescent="0.25">
      <c r="A450" s="12"/>
      <c r="B450" s="12"/>
      <c r="C450" s="12"/>
      <c r="D450" s="12"/>
      <c r="E450" s="41"/>
      <c r="F450" s="12"/>
    </row>
    <row r="451" spans="1:6" x14ac:dyDescent="0.25">
      <c r="A451" s="12"/>
      <c r="B451" s="12"/>
      <c r="C451" s="12"/>
      <c r="D451" s="12"/>
      <c r="E451" s="41"/>
      <c r="F451" s="12"/>
    </row>
    <row r="452" spans="1:6" x14ac:dyDescent="0.25">
      <c r="A452" s="12"/>
      <c r="B452" s="12"/>
      <c r="C452" s="12"/>
      <c r="D452" s="12"/>
      <c r="E452" s="41"/>
      <c r="F452" s="12"/>
    </row>
    <row r="453" spans="1:6" x14ac:dyDescent="0.25">
      <c r="A453" s="12"/>
      <c r="B453" s="12"/>
      <c r="C453" s="12"/>
      <c r="D453" s="12"/>
      <c r="E453" s="41"/>
      <c r="F453" s="12"/>
    </row>
    <row r="454" spans="1:6" x14ac:dyDescent="0.25">
      <c r="A454" s="12"/>
      <c r="B454" s="12"/>
      <c r="C454" s="12"/>
      <c r="D454" s="12"/>
      <c r="E454" s="41"/>
      <c r="F454" s="12"/>
    </row>
    <row r="455" spans="1:6" x14ac:dyDescent="0.25">
      <c r="A455" s="12"/>
      <c r="B455" s="12"/>
      <c r="C455" s="12"/>
      <c r="D455" s="12"/>
      <c r="E455" s="41"/>
      <c r="F455" s="12"/>
    </row>
    <row r="456" spans="1:6" x14ac:dyDescent="0.25">
      <c r="A456" s="12"/>
      <c r="B456" s="12"/>
      <c r="C456" s="12"/>
      <c r="D456" s="12"/>
      <c r="E456" s="41"/>
      <c r="F456" s="12"/>
    </row>
    <row r="457" spans="1:6" x14ac:dyDescent="0.25">
      <c r="A457" s="12"/>
      <c r="B457" s="12"/>
      <c r="C457" s="12"/>
      <c r="D457" s="12"/>
      <c r="E457" s="41"/>
      <c r="F457" s="12"/>
    </row>
    <row r="458" spans="1:6" x14ac:dyDescent="0.25">
      <c r="A458" s="12"/>
      <c r="B458" s="12"/>
      <c r="C458" s="12"/>
      <c r="D458" s="12"/>
      <c r="E458" s="41"/>
      <c r="F458" s="12"/>
    </row>
    <row r="459" spans="1:6" x14ac:dyDescent="0.25">
      <c r="A459" s="12"/>
      <c r="B459" s="12"/>
      <c r="C459" s="12"/>
      <c r="D459" s="12"/>
      <c r="E459" s="41"/>
      <c r="F459" s="12"/>
    </row>
    <row r="460" spans="1:6" x14ac:dyDescent="0.25">
      <c r="A460" s="12"/>
      <c r="B460" s="12"/>
      <c r="C460" s="12"/>
      <c r="D460" s="12"/>
      <c r="E460" s="41"/>
      <c r="F460" s="12"/>
    </row>
    <row r="461" spans="1:6" x14ac:dyDescent="0.25">
      <c r="A461" s="12"/>
      <c r="B461" s="12"/>
      <c r="C461" s="12"/>
      <c r="D461" s="12"/>
      <c r="E461" s="41"/>
      <c r="F461" s="12"/>
    </row>
    <row r="462" spans="1:6" x14ac:dyDescent="0.25">
      <c r="A462" s="12"/>
      <c r="B462" s="12"/>
      <c r="C462" s="12"/>
      <c r="D462" s="12"/>
      <c r="E462" s="41"/>
      <c r="F462" s="12"/>
    </row>
    <row r="463" spans="1:6" x14ac:dyDescent="0.25">
      <c r="A463" s="12"/>
      <c r="B463" s="12"/>
      <c r="C463" s="12"/>
      <c r="D463" s="12"/>
      <c r="E463" s="41"/>
      <c r="F463" s="12"/>
    </row>
    <row r="464" spans="1:6" x14ac:dyDescent="0.25">
      <c r="A464" s="12"/>
      <c r="B464" s="12"/>
      <c r="C464" s="12"/>
      <c r="D464" s="12"/>
      <c r="E464" s="41"/>
      <c r="F464" s="12"/>
    </row>
    <row r="465" spans="1:6" x14ac:dyDescent="0.25">
      <c r="A465" s="12"/>
      <c r="B465" s="12"/>
      <c r="C465" s="12"/>
      <c r="D465" s="12"/>
      <c r="E465" s="41"/>
      <c r="F465" s="12"/>
    </row>
    <row r="466" spans="1:6" x14ac:dyDescent="0.25">
      <c r="A466" s="12"/>
      <c r="B466" s="12"/>
      <c r="C466" s="12"/>
      <c r="D466" s="12"/>
      <c r="E466" s="41"/>
      <c r="F466" s="12"/>
    </row>
    <row r="467" spans="1:6" x14ac:dyDescent="0.25">
      <c r="A467" s="12"/>
      <c r="B467" s="12"/>
      <c r="C467" s="12"/>
      <c r="D467" s="12"/>
      <c r="E467" s="41"/>
      <c r="F467" s="12"/>
    </row>
    <row r="468" spans="1:6" x14ac:dyDescent="0.25">
      <c r="A468" s="12"/>
      <c r="B468" s="12"/>
      <c r="C468" s="12"/>
      <c r="D468" s="12"/>
      <c r="E468" s="41"/>
      <c r="F468" s="12"/>
    </row>
    <row r="469" spans="1:6" x14ac:dyDescent="0.25">
      <c r="A469" s="12"/>
      <c r="B469" s="12"/>
      <c r="C469" s="12"/>
      <c r="D469" s="12"/>
      <c r="E469" s="41"/>
      <c r="F469" s="12"/>
    </row>
    <row r="470" spans="1:6" x14ac:dyDescent="0.25">
      <c r="A470" s="12"/>
      <c r="B470" s="12"/>
      <c r="C470" s="12"/>
      <c r="D470" s="12"/>
      <c r="E470" s="41"/>
      <c r="F470" s="12"/>
    </row>
    <row r="471" spans="1:6" x14ac:dyDescent="0.25">
      <c r="A471" s="12"/>
      <c r="B471" s="12"/>
      <c r="C471" s="12"/>
      <c r="D471" s="12"/>
      <c r="E471" s="41"/>
      <c r="F471" s="12"/>
    </row>
    <row r="472" spans="1:6" x14ac:dyDescent="0.25">
      <c r="A472" s="12"/>
      <c r="B472" s="12"/>
      <c r="C472" s="12"/>
      <c r="D472" s="12"/>
      <c r="E472" s="41"/>
      <c r="F472" s="12"/>
    </row>
    <row r="473" spans="1:6" x14ac:dyDescent="0.25">
      <c r="A473" s="12"/>
      <c r="B473" s="12"/>
      <c r="C473" s="12"/>
      <c r="D473" s="12"/>
      <c r="E473" s="41"/>
      <c r="F473" s="12"/>
    </row>
    <row r="474" spans="1:6" x14ac:dyDescent="0.25">
      <c r="A474" s="12"/>
      <c r="B474" s="12"/>
      <c r="C474" s="12"/>
      <c r="D474" s="12"/>
      <c r="E474" s="41"/>
      <c r="F474" s="12"/>
    </row>
    <row r="475" spans="1:6" x14ac:dyDescent="0.25">
      <c r="A475" s="12"/>
      <c r="B475" s="12"/>
      <c r="C475" s="12"/>
      <c r="D475" s="12"/>
      <c r="E475" s="41"/>
      <c r="F475" s="12"/>
    </row>
    <row r="476" spans="1:6" x14ac:dyDescent="0.25">
      <c r="A476" s="12"/>
      <c r="B476" s="12"/>
      <c r="C476" s="12"/>
      <c r="D476" s="12"/>
      <c r="E476" s="41"/>
      <c r="F476" s="12"/>
    </row>
    <row r="477" spans="1:6" x14ac:dyDescent="0.25">
      <c r="A477" s="12"/>
      <c r="B477" s="12"/>
      <c r="C477" s="12"/>
      <c r="D477" s="12"/>
      <c r="E477" s="41"/>
      <c r="F477" s="12"/>
    </row>
    <row r="478" spans="1:6" x14ac:dyDescent="0.25">
      <c r="A478" s="12"/>
      <c r="B478" s="12"/>
      <c r="C478" s="12"/>
      <c r="D478" s="12"/>
      <c r="E478" s="41"/>
      <c r="F478" s="12"/>
    </row>
    <row r="479" spans="1:6" x14ac:dyDescent="0.25">
      <c r="A479" s="12"/>
      <c r="B479" s="12"/>
      <c r="C479" s="12"/>
      <c r="D479" s="12"/>
      <c r="E479" s="41"/>
      <c r="F479" s="12"/>
    </row>
    <row r="480" spans="1:6" x14ac:dyDescent="0.25">
      <c r="A480" s="12"/>
      <c r="B480" s="12"/>
      <c r="C480" s="12"/>
      <c r="D480" s="12"/>
      <c r="E480" s="41"/>
      <c r="F480" s="12"/>
    </row>
    <row r="481" spans="1:6" x14ac:dyDescent="0.25">
      <c r="A481" s="12"/>
      <c r="B481" s="12"/>
      <c r="C481" s="12"/>
      <c r="D481" s="12"/>
      <c r="E481" s="41"/>
      <c r="F481" s="12"/>
    </row>
    <row r="482" spans="1:6" x14ac:dyDescent="0.25">
      <c r="A482" s="12"/>
      <c r="B482" s="12"/>
      <c r="C482" s="12"/>
      <c r="D482" s="12"/>
      <c r="E482" s="41"/>
      <c r="F482" s="12"/>
    </row>
    <row r="483" spans="1:6" x14ac:dyDescent="0.25">
      <c r="A483" s="12"/>
      <c r="B483" s="12"/>
      <c r="C483" s="12"/>
      <c r="D483" s="12"/>
      <c r="E483" s="41"/>
      <c r="F483" s="12"/>
    </row>
    <row r="484" spans="1:6" x14ac:dyDescent="0.25">
      <c r="A484" s="12"/>
      <c r="B484" s="12"/>
      <c r="C484" s="12"/>
      <c r="D484" s="12"/>
      <c r="E484" s="41"/>
      <c r="F484" s="12"/>
    </row>
    <row r="485" spans="1:6" x14ac:dyDescent="0.25">
      <c r="A485" s="12"/>
      <c r="B485" s="12"/>
      <c r="C485" s="12"/>
      <c r="D485" s="12"/>
      <c r="E485" s="41"/>
      <c r="F485" s="12"/>
    </row>
    <row r="486" spans="1:6" x14ac:dyDescent="0.25">
      <c r="A486" s="12"/>
      <c r="B486" s="12"/>
      <c r="C486" s="12"/>
      <c r="D486" s="12"/>
      <c r="E486" s="41"/>
      <c r="F486" s="12"/>
    </row>
    <row r="487" spans="1:6" x14ac:dyDescent="0.25">
      <c r="A487" s="12"/>
      <c r="B487" s="12"/>
      <c r="C487" s="12"/>
      <c r="D487" s="12"/>
      <c r="E487" s="41"/>
      <c r="F487" s="12"/>
    </row>
    <row r="488" spans="1:6" x14ac:dyDescent="0.25">
      <c r="A488" s="12"/>
      <c r="B488" s="12"/>
      <c r="C488" s="12"/>
      <c r="D488" s="12"/>
      <c r="E488" s="41"/>
      <c r="F488" s="12"/>
    </row>
    <row r="489" spans="1:6" x14ac:dyDescent="0.25">
      <c r="A489" s="12"/>
      <c r="B489" s="12"/>
      <c r="C489" s="12"/>
      <c r="D489" s="12"/>
      <c r="E489" s="41"/>
      <c r="F489" s="12"/>
    </row>
    <row r="490" spans="1:6" x14ac:dyDescent="0.25">
      <c r="A490" s="12"/>
      <c r="B490" s="12"/>
      <c r="C490" s="12"/>
      <c r="D490" s="12"/>
      <c r="E490" s="41"/>
      <c r="F490" s="12"/>
    </row>
    <row r="491" spans="1:6" x14ac:dyDescent="0.25">
      <c r="A491" s="12"/>
      <c r="B491" s="12"/>
      <c r="C491" s="12"/>
      <c r="D491" s="12"/>
      <c r="E491" s="41"/>
      <c r="F491" s="12"/>
    </row>
    <row r="492" spans="1:6" x14ac:dyDescent="0.25">
      <c r="A492" s="12"/>
      <c r="B492" s="12"/>
      <c r="C492" s="12"/>
      <c r="D492" s="12"/>
      <c r="E492" s="41"/>
      <c r="F492" s="12"/>
    </row>
    <row r="493" spans="1:6" x14ac:dyDescent="0.25">
      <c r="A493" s="12"/>
      <c r="B493" s="12"/>
      <c r="C493" s="12"/>
      <c r="D493" s="12"/>
      <c r="E493" s="41"/>
      <c r="F493" s="12"/>
    </row>
    <row r="494" spans="1:6" x14ac:dyDescent="0.25">
      <c r="A494" s="12"/>
      <c r="B494" s="12"/>
      <c r="C494" s="12"/>
      <c r="D494" s="12"/>
      <c r="E494" s="41"/>
      <c r="F494" s="12"/>
    </row>
    <row r="495" spans="1:6" x14ac:dyDescent="0.25">
      <c r="A495" s="12"/>
      <c r="B495" s="12"/>
      <c r="C495" s="12"/>
      <c r="D495" s="12"/>
      <c r="E495" s="41"/>
      <c r="F495" s="12"/>
    </row>
    <row r="496" spans="1:6" x14ac:dyDescent="0.25">
      <c r="A496" s="12"/>
      <c r="B496" s="12"/>
      <c r="C496" s="12"/>
      <c r="D496" s="12"/>
      <c r="E496" s="41"/>
      <c r="F496" s="12"/>
    </row>
    <row r="497" spans="1:6" x14ac:dyDescent="0.25">
      <c r="A497" s="12"/>
      <c r="B497" s="12"/>
      <c r="C497" s="12"/>
      <c r="D497" s="12"/>
      <c r="E497" s="41"/>
      <c r="F497" s="12"/>
    </row>
    <row r="498" spans="1:6" x14ac:dyDescent="0.25">
      <c r="A498" s="12"/>
      <c r="B498" s="12"/>
      <c r="C498" s="12"/>
      <c r="D498" s="12"/>
      <c r="E498" s="41"/>
      <c r="F498" s="12"/>
    </row>
    <row r="499" spans="1:6" x14ac:dyDescent="0.25">
      <c r="A499" s="12"/>
      <c r="B499" s="12"/>
      <c r="C499" s="12"/>
      <c r="D499" s="12"/>
      <c r="E499" s="41"/>
      <c r="F499" s="12"/>
    </row>
    <row r="500" spans="1:6" x14ac:dyDescent="0.25">
      <c r="A500" s="12"/>
      <c r="B500" s="12"/>
      <c r="C500" s="12"/>
      <c r="D500" s="12"/>
      <c r="E500" s="41"/>
      <c r="F500" s="12"/>
    </row>
    <row r="501" spans="1:6" x14ac:dyDescent="0.25">
      <c r="A501" s="12"/>
      <c r="B501" s="12"/>
      <c r="C501" s="12"/>
      <c r="D501" s="12"/>
      <c r="E501" s="41"/>
      <c r="F501" s="12"/>
    </row>
    <row r="502" spans="1:6" x14ac:dyDescent="0.25">
      <c r="A502" s="12"/>
      <c r="B502" s="12"/>
      <c r="C502" s="12"/>
      <c r="D502" s="12"/>
      <c r="E502" s="41"/>
      <c r="F502" s="12"/>
    </row>
    <row r="503" spans="1:6" x14ac:dyDescent="0.25">
      <c r="A503" s="12"/>
      <c r="B503" s="12"/>
      <c r="C503" s="12"/>
      <c r="D503" s="12"/>
      <c r="E503" s="41"/>
      <c r="F503" s="12"/>
    </row>
    <row r="504" spans="1:6" x14ac:dyDescent="0.25">
      <c r="A504" s="12"/>
      <c r="B504" s="12"/>
      <c r="C504" s="12"/>
      <c r="D504" s="12"/>
      <c r="E504" s="41"/>
      <c r="F504" s="12"/>
    </row>
    <row r="505" spans="1:6" x14ac:dyDescent="0.25">
      <c r="A505" s="12"/>
      <c r="B505" s="12"/>
      <c r="C505" s="12"/>
      <c r="D505" s="12"/>
      <c r="E505" s="41"/>
      <c r="F505" s="12"/>
    </row>
    <row r="506" spans="1:6" x14ac:dyDescent="0.25">
      <c r="A506" s="12"/>
      <c r="B506" s="12"/>
      <c r="C506" s="12"/>
      <c r="D506" s="12"/>
      <c r="E506" s="41"/>
      <c r="F506" s="12"/>
    </row>
    <row r="507" spans="1:6" x14ac:dyDescent="0.25">
      <c r="A507" s="12"/>
      <c r="B507" s="12"/>
      <c r="C507" s="12"/>
      <c r="D507" s="12"/>
      <c r="E507" s="41"/>
      <c r="F507" s="12"/>
    </row>
    <row r="508" spans="1:6" x14ac:dyDescent="0.25">
      <c r="A508" s="12"/>
      <c r="B508" s="12"/>
      <c r="C508" s="12"/>
      <c r="D508" s="12"/>
      <c r="E508" s="41"/>
      <c r="F508" s="12"/>
    </row>
    <row r="509" spans="1:6" x14ac:dyDescent="0.25">
      <c r="A509" s="12"/>
      <c r="B509" s="12"/>
      <c r="C509" s="12"/>
      <c r="D509" s="12"/>
      <c r="E509" s="41"/>
      <c r="F509" s="12"/>
    </row>
    <row r="510" spans="1:6" x14ac:dyDescent="0.25">
      <c r="A510" s="12"/>
      <c r="B510" s="12"/>
      <c r="C510" s="12"/>
      <c r="D510" s="12"/>
      <c r="E510" s="41"/>
      <c r="F510" s="12"/>
    </row>
    <row r="511" spans="1:6" x14ac:dyDescent="0.25">
      <c r="A511" s="12"/>
      <c r="B511" s="12"/>
      <c r="C511" s="12"/>
      <c r="D511" s="12"/>
      <c r="E511" s="41"/>
      <c r="F511" s="12"/>
    </row>
    <row r="512" spans="1:6" x14ac:dyDescent="0.25">
      <c r="A512" s="12"/>
      <c r="B512" s="12"/>
      <c r="C512" s="12"/>
      <c r="D512" s="12"/>
      <c r="E512" s="41"/>
      <c r="F512" s="12"/>
    </row>
    <row r="513" spans="1:6" x14ac:dyDescent="0.25">
      <c r="A513" s="12"/>
      <c r="B513" s="12"/>
      <c r="C513" s="12"/>
      <c r="D513" s="12"/>
      <c r="E513" s="41"/>
      <c r="F513" s="12"/>
    </row>
    <row r="514" spans="1:6" x14ac:dyDescent="0.25">
      <c r="A514" s="12"/>
      <c r="B514" s="12"/>
      <c r="C514" s="12"/>
      <c r="D514" s="12"/>
      <c r="E514" s="41"/>
      <c r="F514" s="12"/>
    </row>
    <row r="515" spans="1:6" x14ac:dyDescent="0.25">
      <c r="A515" s="12"/>
      <c r="B515" s="12"/>
      <c r="C515" s="12"/>
      <c r="D515" s="12"/>
      <c r="E515" s="41"/>
      <c r="F515" s="12"/>
    </row>
    <row r="516" spans="1:6" x14ac:dyDescent="0.25">
      <c r="A516" s="12"/>
      <c r="B516" s="12"/>
      <c r="C516" s="12"/>
      <c r="D516" s="12"/>
      <c r="E516" s="41"/>
      <c r="F516" s="12"/>
    </row>
    <row r="517" spans="1:6" x14ac:dyDescent="0.25">
      <c r="A517" s="12"/>
      <c r="B517" s="12"/>
      <c r="C517" s="12"/>
      <c r="D517" s="12"/>
      <c r="E517" s="41"/>
      <c r="F517" s="12"/>
    </row>
    <row r="518" spans="1:6" x14ac:dyDescent="0.25">
      <c r="A518" s="12"/>
      <c r="B518" s="12"/>
      <c r="C518" s="12"/>
      <c r="D518" s="12"/>
      <c r="E518" s="41"/>
      <c r="F518" s="12"/>
    </row>
    <row r="519" spans="1:6" x14ac:dyDescent="0.25">
      <c r="A519" s="12"/>
      <c r="B519" s="12"/>
      <c r="C519" s="12"/>
      <c r="D519" s="12"/>
      <c r="E519" s="41"/>
      <c r="F519" s="12"/>
    </row>
    <row r="520" spans="1:6" x14ac:dyDescent="0.25">
      <c r="A520" s="12"/>
      <c r="B520" s="12"/>
      <c r="C520" s="12"/>
      <c r="D520" s="12"/>
      <c r="E520" s="41"/>
      <c r="F520" s="12"/>
    </row>
    <row r="521" spans="1:6" x14ac:dyDescent="0.25">
      <c r="A521" s="12"/>
      <c r="B521" s="12"/>
      <c r="C521" s="12"/>
      <c r="D521" s="12"/>
      <c r="E521" s="41"/>
      <c r="F521" s="12"/>
    </row>
    <row r="522" spans="1:6" x14ac:dyDescent="0.25">
      <c r="A522" s="12"/>
      <c r="B522" s="12"/>
      <c r="C522" s="12"/>
      <c r="D522" s="12"/>
      <c r="E522" s="41"/>
      <c r="F522" s="12"/>
    </row>
    <row r="523" spans="1:6" x14ac:dyDescent="0.25">
      <c r="A523" s="12"/>
      <c r="B523" s="12"/>
      <c r="C523" s="12"/>
      <c r="D523" s="12"/>
      <c r="E523" s="41"/>
      <c r="F523" s="12"/>
    </row>
    <row r="524" spans="1:6" x14ac:dyDescent="0.25">
      <c r="A524" s="12"/>
      <c r="B524" s="12"/>
      <c r="C524" s="12"/>
      <c r="D524" s="12"/>
      <c r="E524" s="41"/>
      <c r="F524" s="12"/>
    </row>
    <row r="525" spans="1:6" x14ac:dyDescent="0.25">
      <c r="A525" s="12"/>
      <c r="B525" s="12"/>
      <c r="C525" s="12"/>
      <c r="D525" s="12"/>
      <c r="E525" s="41"/>
      <c r="F525" s="12"/>
    </row>
    <row r="526" spans="1:6" x14ac:dyDescent="0.25">
      <c r="A526" s="12"/>
      <c r="B526" s="12"/>
      <c r="C526" s="12"/>
      <c r="D526" s="12"/>
      <c r="E526" s="41"/>
      <c r="F526" s="12"/>
    </row>
    <row r="527" spans="1:6" x14ac:dyDescent="0.25">
      <c r="A527" s="12"/>
      <c r="B527" s="12"/>
      <c r="C527" s="12"/>
      <c r="D527" s="12"/>
      <c r="E527" s="41"/>
      <c r="F527" s="12"/>
    </row>
    <row r="528" spans="1:6" x14ac:dyDescent="0.25">
      <c r="A528" s="12"/>
      <c r="B528" s="12"/>
      <c r="C528" s="12"/>
      <c r="D528" s="12"/>
      <c r="E528" s="41"/>
      <c r="F528" s="12"/>
    </row>
    <row r="529" spans="1:6" x14ac:dyDescent="0.25">
      <c r="A529" s="12"/>
      <c r="B529" s="12"/>
      <c r="C529" s="12"/>
      <c r="D529" s="12"/>
      <c r="E529" s="41"/>
      <c r="F529" s="12"/>
    </row>
    <row r="530" spans="1:6" x14ac:dyDescent="0.25">
      <c r="A530" s="12"/>
      <c r="B530" s="12"/>
      <c r="C530" s="12"/>
      <c r="D530" s="12"/>
      <c r="E530" s="41"/>
      <c r="F530" s="12"/>
    </row>
    <row r="531" spans="1:6" x14ac:dyDescent="0.25">
      <c r="A531" s="12"/>
      <c r="B531" s="12"/>
      <c r="C531" s="12"/>
      <c r="D531" s="12"/>
      <c r="E531" s="41"/>
      <c r="F531" s="12"/>
    </row>
    <row r="532" spans="1:6" x14ac:dyDescent="0.25">
      <c r="A532" s="12"/>
      <c r="B532" s="12"/>
      <c r="C532" s="12"/>
      <c r="D532" s="12"/>
      <c r="E532" s="41"/>
      <c r="F532" s="12"/>
    </row>
    <row r="533" spans="1:6" x14ac:dyDescent="0.25">
      <c r="A533" s="12"/>
      <c r="B533" s="12"/>
      <c r="C533" s="12"/>
      <c r="D533" s="12"/>
      <c r="E533" s="41"/>
      <c r="F533" s="12"/>
    </row>
    <row r="534" spans="1:6" x14ac:dyDescent="0.25">
      <c r="A534" s="12"/>
      <c r="B534" s="12"/>
      <c r="C534" s="12"/>
      <c r="D534" s="12"/>
      <c r="E534" s="41"/>
      <c r="F534" s="12"/>
    </row>
    <row r="535" spans="1:6" x14ac:dyDescent="0.25">
      <c r="A535" s="12"/>
      <c r="B535" s="12"/>
      <c r="C535" s="12"/>
      <c r="D535" s="12"/>
      <c r="E535" s="41"/>
      <c r="F535" s="12"/>
    </row>
    <row r="536" spans="1:6" x14ac:dyDescent="0.25">
      <c r="A536" s="12"/>
      <c r="B536" s="12"/>
      <c r="C536" s="12"/>
      <c r="D536" s="12"/>
      <c r="E536" s="41"/>
      <c r="F536" s="12"/>
    </row>
    <row r="537" spans="1:6" x14ac:dyDescent="0.25">
      <c r="A537" s="12"/>
      <c r="B537" s="12"/>
      <c r="C537" s="12"/>
      <c r="D537" s="12"/>
      <c r="E537" s="41"/>
      <c r="F537" s="12"/>
    </row>
    <row r="538" spans="1:6" x14ac:dyDescent="0.25">
      <c r="A538" s="12"/>
      <c r="B538" s="12"/>
      <c r="C538" s="12"/>
      <c r="D538" s="12"/>
      <c r="E538" s="41"/>
      <c r="F538" s="12"/>
    </row>
    <row r="539" spans="1:6" x14ac:dyDescent="0.25">
      <c r="A539" s="12"/>
      <c r="B539" s="12"/>
      <c r="C539" s="12"/>
      <c r="D539" s="12"/>
      <c r="E539" s="41"/>
      <c r="F539" s="12"/>
    </row>
    <row r="540" spans="1:6" x14ac:dyDescent="0.25">
      <c r="A540" s="12"/>
      <c r="B540" s="12"/>
      <c r="C540" s="12"/>
      <c r="D540" s="12"/>
      <c r="E540" s="41"/>
      <c r="F540" s="12"/>
    </row>
    <row r="541" spans="1:6" x14ac:dyDescent="0.25">
      <c r="A541" s="12"/>
      <c r="B541" s="12"/>
      <c r="C541" s="12"/>
      <c r="D541" s="12"/>
      <c r="E541" s="41"/>
      <c r="F541" s="12"/>
    </row>
    <row r="542" spans="1:6" x14ac:dyDescent="0.25">
      <c r="A542" s="32"/>
      <c r="B542" s="32"/>
      <c r="C542" s="32"/>
      <c r="D542" s="32"/>
      <c r="E542" s="42"/>
      <c r="F542" s="32"/>
    </row>
    <row r="543" spans="1:6" x14ac:dyDescent="0.25">
      <c r="A543" s="32"/>
      <c r="B543" s="32"/>
      <c r="C543" s="32"/>
      <c r="D543" s="32"/>
      <c r="E543" s="42"/>
      <c r="F543" s="32"/>
    </row>
    <row r="544" spans="1:6" x14ac:dyDescent="0.25">
      <c r="A544" s="32"/>
      <c r="B544" s="32"/>
      <c r="C544" s="32"/>
      <c r="D544" s="32"/>
      <c r="E544" s="42"/>
      <c r="F544" s="32"/>
    </row>
    <row r="545" spans="1:6" x14ac:dyDescent="0.25">
      <c r="A545" s="32"/>
      <c r="B545" s="32"/>
      <c r="C545" s="32"/>
      <c r="D545" s="32"/>
      <c r="E545" s="42"/>
      <c r="F545" s="32"/>
    </row>
    <row r="546" spans="1:6" x14ac:dyDescent="0.25">
      <c r="A546" s="32"/>
      <c r="B546" s="32"/>
      <c r="C546" s="32"/>
      <c r="D546" s="32"/>
      <c r="E546" s="42"/>
      <c r="F546" s="32"/>
    </row>
    <row r="547" spans="1:6" x14ac:dyDescent="0.25">
      <c r="A547" s="32"/>
      <c r="B547" s="32"/>
      <c r="C547" s="32"/>
      <c r="D547" s="32"/>
      <c r="E547" s="42"/>
      <c r="F547" s="32"/>
    </row>
    <row r="548" spans="1:6" x14ac:dyDescent="0.25">
      <c r="A548" s="32"/>
      <c r="B548" s="32"/>
      <c r="C548" s="32"/>
      <c r="D548" s="32"/>
      <c r="E548" s="42"/>
      <c r="F548" s="32"/>
    </row>
    <row r="549" spans="1:6" x14ac:dyDescent="0.25">
      <c r="A549" s="32"/>
      <c r="B549" s="32"/>
      <c r="C549" s="32"/>
      <c r="D549" s="32"/>
      <c r="E549" s="42"/>
      <c r="F549" s="32"/>
    </row>
    <row r="550" spans="1:6" x14ac:dyDescent="0.25">
      <c r="A550" s="32"/>
      <c r="B550" s="32"/>
      <c r="C550" s="32"/>
      <c r="D550" s="32"/>
      <c r="E550" s="42"/>
      <c r="F550" s="32"/>
    </row>
    <row r="551" spans="1:6" x14ac:dyDescent="0.25">
      <c r="A551" s="32"/>
      <c r="B551" s="32"/>
      <c r="C551" s="32"/>
      <c r="D551" s="32"/>
      <c r="E551" s="42"/>
      <c r="F551" s="32"/>
    </row>
    <row r="552" spans="1:6" x14ac:dyDescent="0.25">
      <c r="A552" s="32"/>
      <c r="B552" s="32"/>
      <c r="C552" s="32"/>
      <c r="D552" s="32"/>
      <c r="E552" s="42"/>
      <c r="F552" s="32"/>
    </row>
    <row r="553" spans="1:6" x14ac:dyDescent="0.25">
      <c r="A553" s="32"/>
      <c r="B553" s="32"/>
      <c r="C553" s="32"/>
      <c r="D553" s="32"/>
      <c r="E553" s="42"/>
      <c r="F553" s="32"/>
    </row>
    <row r="554" spans="1:6" x14ac:dyDescent="0.25">
      <c r="A554" s="32"/>
      <c r="B554" s="32"/>
      <c r="C554" s="32"/>
      <c r="D554" s="32"/>
      <c r="E554" s="42"/>
      <c r="F554" s="32"/>
    </row>
    <row r="555" spans="1:6" x14ac:dyDescent="0.25">
      <c r="A555" s="32"/>
      <c r="B555" s="32"/>
      <c r="C555" s="32"/>
      <c r="D555" s="32"/>
      <c r="E555" s="42"/>
      <c r="F555" s="32"/>
    </row>
    <row r="556" spans="1:6" x14ac:dyDescent="0.25">
      <c r="A556" s="32"/>
      <c r="B556" s="32"/>
      <c r="C556" s="32"/>
      <c r="D556" s="32"/>
      <c r="E556" s="42"/>
      <c r="F556" s="32"/>
    </row>
    <row r="557" spans="1:6" x14ac:dyDescent="0.25">
      <c r="A557" s="32"/>
      <c r="B557" s="32"/>
      <c r="C557" s="32"/>
      <c r="D557" s="32"/>
      <c r="E557" s="42"/>
      <c r="F557" s="32"/>
    </row>
    <row r="558" spans="1:6" x14ac:dyDescent="0.25">
      <c r="A558" s="32"/>
      <c r="B558" s="32"/>
      <c r="C558" s="32"/>
      <c r="D558" s="32"/>
      <c r="E558" s="42"/>
      <c r="F558" s="32"/>
    </row>
    <row r="559" spans="1:6" x14ac:dyDescent="0.25">
      <c r="A559" s="32"/>
      <c r="B559" s="32"/>
      <c r="C559" s="32"/>
      <c r="D559" s="32"/>
      <c r="E559" s="42"/>
      <c r="F559" s="32"/>
    </row>
    <row r="560" spans="1:6" x14ac:dyDescent="0.25">
      <c r="A560" s="32"/>
      <c r="B560" s="32"/>
      <c r="C560" s="32"/>
      <c r="D560" s="32"/>
      <c r="E560" s="42"/>
      <c r="F560" s="32"/>
    </row>
    <row r="561" spans="1:6" x14ac:dyDescent="0.25">
      <c r="A561" s="32"/>
      <c r="B561" s="32"/>
      <c r="C561" s="32"/>
      <c r="D561" s="32"/>
      <c r="E561" s="42"/>
      <c r="F561" s="32"/>
    </row>
    <row r="562" spans="1:6" x14ac:dyDescent="0.25">
      <c r="A562" s="32"/>
      <c r="B562" s="32"/>
      <c r="C562" s="32"/>
      <c r="D562" s="32"/>
      <c r="E562" s="42"/>
      <c r="F562" s="32"/>
    </row>
    <row r="563" spans="1:6" x14ac:dyDescent="0.25">
      <c r="A563" s="32"/>
      <c r="B563" s="32"/>
      <c r="C563" s="32"/>
      <c r="D563" s="32"/>
      <c r="E563" s="42"/>
      <c r="F563" s="32"/>
    </row>
    <row r="564" spans="1:6" x14ac:dyDescent="0.25">
      <c r="A564" s="32"/>
      <c r="B564" s="32"/>
      <c r="C564" s="32"/>
      <c r="D564" s="32"/>
      <c r="E564" s="42"/>
      <c r="F564" s="32"/>
    </row>
    <row r="565" spans="1:6" x14ac:dyDescent="0.25">
      <c r="A565" s="32"/>
      <c r="B565" s="32"/>
      <c r="C565" s="32"/>
      <c r="D565" s="32"/>
      <c r="E565" s="42"/>
      <c r="F565" s="32"/>
    </row>
    <row r="566" spans="1:6" x14ac:dyDescent="0.25">
      <c r="A566" s="32"/>
      <c r="B566" s="32"/>
      <c r="C566" s="32"/>
      <c r="D566" s="32"/>
      <c r="E566" s="42"/>
      <c r="F566" s="32"/>
    </row>
    <row r="567" spans="1:6" x14ac:dyDescent="0.25">
      <c r="A567" s="32"/>
      <c r="B567" s="32"/>
      <c r="C567" s="32"/>
      <c r="D567" s="32"/>
      <c r="E567" s="42"/>
      <c r="F567" s="32"/>
    </row>
    <row r="568" spans="1:6" x14ac:dyDescent="0.25">
      <c r="A568" s="32"/>
      <c r="B568" s="32"/>
      <c r="C568" s="32"/>
      <c r="D568" s="32"/>
      <c r="E568" s="42"/>
      <c r="F568" s="32"/>
    </row>
    <row r="569" spans="1:6" x14ac:dyDescent="0.25">
      <c r="A569" s="32"/>
      <c r="B569" s="32"/>
      <c r="C569" s="32"/>
      <c r="D569" s="32"/>
      <c r="E569" s="42"/>
      <c r="F569" s="32"/>
    </row>
    <row r="570" spans="1:6" x14ac:dyDescent="0.25">
      <c r="A570" s="32"/>
      <c r="B570" s="32"/>
      <c r="C570" s="32"/>
      <c r="D570" s="32"/>
      <c r="E570" s="42"/>
      <c r="F570" s="32"/>
    </row>
    <row r="571" spans="1:6" x14ac:dyDescent="0.25">
      <c r="A571" s="32"/>
      <c r="B571" s="32"/>
      <c r="C571" s="32"/>
      <c r="D571" s="32"/>
      <c r="E571" s="42"/>
      <c r="F571" s="32"/>
    </row>
    <row r="572" spans="1:6" x14ac:dyDescent="0.25">
      <c r="A572" s="32"/>
      <c r="B572" s="32"/>
      <c r="C572" s="32"/>
      <c r="D572" s="32"/>
      <c r="E572" s="42"/>
      <c r="F572" s="32"/>
    </row>
    <row r="573" spans="1:6" x14ac:dyDescent="0.25">
      <c r="A573" s="32"/>
      <c r="B573" s="32"/>
      <c r="C573" s="32"/>
      <c r="D573" s="32"/>
      <c r="E573" s="42"/>
      <c r="F573" s="32"/>
    </row>
    <row r="574" spans="1:6" x14ac:dyDescent="0.25">
      <c r="A574" s="32"/>
      <c r="B574" s="32"/>
      <c r="C574" s="32"/>
      <c r="D574" s="32"/>
      <c r="E574" s="42"/>
      <c r="F574" s="32"/>
    </row>
    <row r="575" spans="1:6" x14ac:dyDescent="0.25">
      <c r="A575" s="32"/>
      <c r="B575" s="32"/>
      <c r="C575" s="32"/>
      <c r="D575" s="32"/>
      <c r="E575" s="42"/>
      <c r="F575" s="32"/>
    </row>
    <row r="576" spans="1:6" x14ac:dyDescent="0.25">
      <c r="A576" s="32"/>
      <c r="B576" s="32"/>
      <c r="C576" s="32"/>
      <c r="D576" s="32"/>
      <c r="E576" s="42"/>
      <c r="F576" s="32"/>
    </row>
    <row r="577" spans="1:6" x14ac:dyDescent="0.25">
      <c r="A577" s="32"/>
      <c r="B577" s="32"/>
      <c r="C577" s="32"/>
      <c r="D577" s="32"/>
      <c r="E577" s="42"/>
      <c r="F577" s="32"/>
    </row>
    <row r="578" spans="1:6" x14ac:dyDescent="0.25">
      <c r="A578" s="32"/>
      <c r="B578" s="32"/>
      <c r="C578" s="32"/>
      <c r="D578" s="32"/>
      <c r="E578" s="42"/>
      <c r="F578" s="32"/>
    </row>
    <row r="579" spans="1:6" x14ac:dyDescent="0.25">
      <c r="A579" s="32"/>
      <c r="B579" s="32"/>
      <c r="C579" s="32"/>
      <c r="D579" s="32"/>
      <c r="E579" s="42"/>
      <c r="F579" s="32"/>
    </row>
    <row r="580" spans="1:6" x14ac:dyDescent="0.25">
      <c r="A580" s="32"/>
      <c r="B580" s="32"/>
      <c r="C580" s="32"/>
      <c r="D580" s="32"/>
      <c r="E580" s="42"/>
      <c r="F580" s="32"/>
    </row>
    <row r="581" spans="1:6" x14ac:dyDescent="0.25">
      <c r="A581" s="32"/>
      <c r="B581" s="32"/>
      <c r="C581" s="32"/>
      <c r="D581" s="32"/>
      <c r="E581" s="42"/>
      <c r="F581" s="32"/>
    </row>
    <row r="582" spans="1:6" x14ac:dyDescent="0.25">
      <c r="A582" s="32"/>
      <c r="B582" s="32"/>
      <c r="C582" s="32"/>
      <c r="D582" s="32"/>
      <c r="E582" s="42"/>
      <c r="F582" s="32"/>
    </row>
    <row r="583" spans="1:6" x14ac:dyDescent="0.25">
      <c r="A583" s="32"/>
      <c r="B583" s="32"/>
      <c r="C583" s="32"/>
      <c r="D583" s="32"/>
      <c r="E583" s="42"/>
      <c r="F583" s="32"/>
    </row>
    <row r="584" spans="1:6" x14ac:dyDescent="0.25">
      <c r="A584" s="32"/>
      <c r="B584" s="32"/>
      <c r="C584" s="32"/>
      <c r="D584" s="32"/>
      <c r="E584" s="42"/>
      <c r="F584" s="32"/>
    </row>
    <row r="585" spans="1:6" x14ac:dyDescent="0.25">
      <c r="A585" s="32"/>
      <c r="B585" s="32"/>
      <c r="C585" s="32"/>
      <c r="D585" s="32"/>
      <c r="E585" s="42"/>
      <c r="F585" s="32"/>
    </row>
    <row r="586" spans="1:6" x14ac:dyDescent="0.25">
      <c r="A586" s="32"/>
      <c r="B586" s="32"/>
      <c r="C586" s="32"/>
      <c r="D586" s="32"/>
      <c r="E586" s="42"/>
      <c r="F586" s="32"/>
    </row>
    <row r="587" spans="1:6" x14ac:dyDescent="0.25">
      <c r="A587" s="32"/>
      <c r="B587" s="32"/>
      <c r="C587" s="32"/>
      <c r="D587" s="32"/>
      <c r="E587" s="42"/>
      <c r="F587" s="32"/>
    </row>
    <row r="588" spans="1:6" x14ac:dyDescent="0.25">
      <c r="A588" s="32"/>
      <c r="B588" s="32"/>
      <c r="C588" s="32"/>
      <c r="D588" s="32"/>
      <c r="E588" s="42"/>
      <c r="F588" s="32"/>
    </row>
    <row r="589" spans="1:6" x14ac:dyDescent="0.25">
      <c r="A589" s="32"/>
      <c r="B589" s="32"/>
      <c r="C589" s="32"/>
      <c r="D589" s="32"/>
      <c r="E589" s="42"/>
      <c r="F589" s="32"/>
    </row>
    <row r="590" spans="1:6" x14ac:dyDescent="0.25">
      <c r="A590" s="32"/>
      <c r="B590" s="32"/>
      <c r="C590" s="32"/>
      <c r="D590" s="32"/>
      <c r="E590" s="42"/>
      <c r="F590" s="32"/>
    </row>
    <row r="591" spans="1:6" x14ac:dyDescent="0.25">
      <c r="A591" s="32"/>
      <c r="B591" s="32"/>
      <c r="C591" s="32"/>
      <c r="D591" s="32"/>
      <c r="E591" s="42"/>
      <c r="F591" s="32"/>
    </row>
    <row r="592" spans="1:6" x14ac:dyDescent="0.25">
      <c r="A592" s="32"/>
      <c r="B592" s="32"/>
      <c r="C592" s="32"/>
      <c r="D592" s="32"/>
      <c r="E592" s="42"/>
      <c r="F592" s="32"/>
    </row>
    <row r="593" spans="1:6" x14ac:dyDescent="0.25">
      <c r="A593" s="32"/>
      <c r="B593" s="32"/>
      <c r="C593" s="32"/>
      <c r="D593" s="32"/>
      <c r="E593" s="42"/>
      <c r="F593" s="32"/>
    </row>
    <row r="594" spans="1:6" x14ac:dyDescent="0.25">
      <c r="A594" s="32"/>
      <c r="B594" s="32"/>
      <c r="C594" s="32"/>
      <c r="D594" s="32"/>
      <c r="E594" s="42"/>
      <c r="F594" s="32"/>
    </row>
    <row r="595" spans="1:6" x14ac:dyDescent="0.25">
      <c r="A595" s="32"/>
      <c r="B595" s="32"/>
      <c r="C595" s="32"/>
      <c r="D595" s="32"/>
      <c r="E595" s="42"/>
      <c r="F595" s="32"/>
    </row>
    <row r="596" spans="1:6" x14ac:dyDescent="0.25">
      <c r="A596" s="32"/>
      <c r="B596" s="32"/>
      <c r="C596" s="32"/>
      <c r="D596" s="32"/>
      <c r="E596" s="42"/>
      <c r="F596" s="32"/>
    </row>
    <row r="597" spans="1:6" x14ac:dyDescent="0.25">
      <c r="A597" s="32"/>
      <c r="B597" s="32"/>
      <c r="C597" s="32"/>
      <c r="D597" s="32"/>
      <c r="E597" s="42"/>
      <c r="F597" s="32"/>
    </row>
    <row r="598" spans="1:6" x14ac:dyDescent="0.25">
      <c r="A598" s="32"/>
      <c r="B598" s="32"/>
      <c r="C598" s="32"/>
      <c r="D598" s="32"/>
      <c r="E598" s="42"/>
      <c r="F598" s="32"/>
    </row>
    <row r="599" spans="1:6" x14ac:dyDescent="0.25">
      <c r="A599" s="32"/>
      <c r="B599" s="32"/>
      <c r="C599" s="32"/>
      <c r="D599" s="32"/>
      <c r="E599" s="42"/>
      <c r="F599" s="32"/>
    </row>
    <row r="600" spans="1:6" x14ac:dyDescent="0.25">
      <c r="A600" s="32"/>
      <c r="B600" s="32"/>
      <c r="C600" s="32"/>
      <c r="D600" s="32"/>
      <c r="E600" s="42"/>
      <c r="F600" s="32"/>
    </row>
    <row r="601" spans="1:6" x14ac:dyDescent="0.25">
      <c r="A601" s="32"/>
      <c r="B601" s="32"/>
      <c r="C601" s="32"/>
      <c r="D601" s="32"/>
      <c r="E601" s="42"/>
      <c r="F601" s="32"/>
    </row>
    <row r="602" spans="1:6" x14ac:dyDescent="0.25">
      <c r="A602" s="32"/>
      <c r="B602" s="32"/>
      <c r="C602" s="32"/>
      <c r="D602" s="32"/>
      <c r="E602" s="42"/>
      <c r="F602" s="32"/>
    </row>
    <row r="603" spans="1:6" x14ac:dyDescent="0.25">
      <c r="A603" s="32"/>
      <c r="B603" s="32"/>
      <c r="C603" s="32"/>
      <c r="D603" s="32"/>
      <c r="E603" s="42"/>
      <c r="F603" s="32"/>
    </row>
    <row r="604" spans="1:6" x14ac:dyDescent="0.25">
      <c r="A604" s="32"/>
      <c r="B604" s="32"/>
      <c r="C604" s="32"/>
      <c r="D604" s="32"/>
      <c r="E604" s="42"/>
      <c r="F604" s="32"/>
    </row>
    <row r="605" spans="1:6" x14ac:dyDescent="0.25">
      <c r="A605" s="32"/>
      <c r="B605" s="32"/>
      <c r="C605" s="32"/>
      <c r="D605" s="32"/>
      <c r="E605" s="42"/>
      <c r="F605" s="32"/>
    </row>
    <row r="606" spans="1:6" x14ac:dyDescent="0.25">
      <c r="A606" s="32"/>
      <c r="B606" s="32"/>
      <c r="C606" s="32"/>
      <c r="D606" s="32"/>
      <c r="E606" s="42"/>
      <c r="F606" s="32"/>
    </row>
    <row r="607" spans="1:6" x14ac:dyDescent="0.25">
      <c r="A607" s="32"/>
      <c r="B607" s="32"/>
      <c r="C607" s="32"/>
      <c r="D607" s="32"/>
      <c r="E607" s="42"/>
      <c r="F607" s="32"/>
    </row>
    <row r="608" spans="1:6" x14ac:dyDescent="0.25">
      <c r="A608" s="32"/>
      <c r="B608" s="32"/>
      <c r="C608" s="32"/>
      <c r="D608" s="32"/>
      <c r="E608" s="42"/>
      <c r="F608" s="32"/>
    </row>
    <row r="609" spans="1:6" x14ac:dyDescent="0.25">
      <c r="A609" s="32"/>
      <c r="B609" s="32"/>
      <c r="C609" s="32"/>
      <c r="D609" s="32"/>
      <c r="E609" s="42"/>
      <c r="F609" s="32"/>
    </row>
    <row r="610" spans="1:6" x14ac:dyDescent="0.25">
      <c r="A610" s="32"/>
      <c r="B610" s="32"/>
      <c r="C610" s="32"/>
      <c r="D610" s="32"/>
      <c r="E610" s="42"/>
      <c r="F610" s="32"/>
    </row>
    <row r="611" spans="1:6" x14ac:dyDescent="0.25">
      <c r="A611" s="32"/>
      <c r="B611" s="32"/>
      <c r="C611" s="32"/>
      <c r="D611" s="32"/>
      <c r="E611" s="42"/>
      <c r="F611" s="32"/>
    </row>
    <row r="612" spans="1:6" x14ac:dyDescent="0.25">
      <c r="A612" s="32"/>
      <c r="B612" s="32"/>
      <c r="C612" s="32"/>
      <c r="D612" s="32"/>
      <c r="E612" s="42"/>
      <c r="F612" s="32"/>
    </row>
    <row r="613" spans="1:6" x14ac:dyDescent="0.25">
      <c r="A613" s="32"/>
      <c r="B613" s="32"/>
      <c r="C613" s="32"/>
      <c r="D613" s="32"/>
      <c r="E613" s="42"/>
      <c r="F613" s="32"/>
    </row>
    <row r="614" spans="1:6" x14ac:dyDescent="0.25">
      <c r="A614" s="32"/>
      <c r="B614" s="32"/>
      <c r="C614" s="32"/>
      <c r="D614" s="32"/>
      <c r="E614" s="42"/>
      <c r="F614" s="32"/>
    </row>
    <row r="615" spans="1:6" x14ac:dyDescent="0.25">
      <c r="A615" s="32"/>
      <c r="B615" s="32"/>
      <c r="C615" s="32"/>
      <c r="D615" s="32"/>
      <c r="E615" s="42"/>
      <c r="F615" s="32"/>
    </row>
    <row r="616" spans="1:6" x14ac:dyDescent="0.25">
      <c r="A616" s="32"/>
      <c r="B616" s="32"/>
      <c r="C616" s="32"/>
      <c r="D616" s="32"/>
      <c r="E616" s="42"/>
      <c r="F616" s="32"/>
    </row>
    <row r="617" spans="1:6" x14ac:dyDescent="0.25">
      <c r="A617" s="32"/>
      <c r="B617" s="32"/>
      <c r="C617" s="32"/>
      <c r="D617" s="32"/>
      <c r="E617" s="42"/>
      <c r="F617" s="32"/>
    </row>
    <row r="618" spans="1:6" x14ac:dyDescent="0.25">
      <c r="A618" s="32"/>
      <c r="B618" s="32"/>
      <c r="C618" s="32"/>
      <c r="D618" s="32"/>
      <c r="E618" s="42"/>
      <c r="F618" s="32"/>
    </row>
    <row r="619" spans="1:6" x14ac:dyDescent="0.25">
      <c r="A619" s="32"/>
      <c r="B619" s="32"/>
      <c r="C619" s="32"/>
      <c r="D619" s="32"/>
      <c r="E619" s="42"/>
      <c r="F619" s="32"/>
    </row>
    <row r="620" spans="1:6" x14ac:dyDescent="0.25">
      <c r="A620" s="32"/>
      <c r="B620" s="32"/>
      <c r="C620" s="32"/>
      <c r="D620" s="32"/>
      <c r="E620" s="42"/>
      <c r="F620" s="32"/>
    </row>
    <row r="621" spans="1:6" x14ac:dyDescent="0.25">
      <c r="A621" s="32"/>
      <c r="B621" s="32"/>
      <c r="C621" s="32"/>
      <c r="D621" s="32"/>
      <c r="E621" s="42"/>
      <c r="F621" s="32"/>
    </row>
    <row r="622" spans="1:6" x14ac:dyDescent="0.25">
      <c r="A622" s="32"/>
      <c r="B622" s="32"/>
      <c r="C622" s="32"/>
      <c r="D622" s="32"/>
      <c r="E622" s="42"/>
      <c r="F622" s="32"/>
    </row>
    <row r="623" spans="1:6" x14ac:dyDescent="0.25">
      <c r="A623" s="32"/>
      <c r="B623" s="32"/>
      <c r="C623" s="32"/>
      <c r="D623" s="32"/>
      <c r="E623" s="42"/>
      <c r="F623" s="32"/>
    </row>
    <row r="624" spans="1:6" x14ac:dyDescent="0.25">
      <c r="A624" s="32"/>
      <c r="B624" s="32"/>
      <c r="C624" s="32"/>
      <c r="D624" s="32"/>
      <c r="E624" s="42"/>
      <c r="F624" s="32"/>
    </row>
    <row r="625" spans="1:6" x14ac:dyDescent="0.25">
      <c r="A625" s="32"/>
      <c r="B625" s="32"/>
      <c r="C625" s="32"/>
      <c r="D625" s="32"/>
      <c r="E625" s="42"/>
      <c r="F625" s="32"/>
    </row>
    <row r="626" spans="1:6" x14ac:dyDescent="0.25">
      <c r="A626" s="32"/>
      <c r="B626" s="32"/>
      <c r="C626" s="32"/>
      <c r="D626" s="32"/>
      <c r="E626" s="42"/>
      <c r="F626" s="32"/>
    </row>
    <row r="627" spans="1:6" x14ac:dyDescent="0.25">
      <c r="A627" s="32"/>
      <c r="B627" s="32"/>
      <c r="C627" s="32"/>
      <c r="D627" s="32"/>
      <c r="E627" s="42"/>
      <c r="F627" s="32"/>
    </row>
    <row r="628" spans="1:6" x14ac:dyDescent="0.25">
      <c r="A628" s="32"/>
      <c r="B628" s="32"/>
      <c r="C628" s="32"/>
      <c r="D628" s="32"/>
      <c r="E628" s="42"/>
      <c r="F628" s="32"/>
    </row>
    <row r="629" spans="1:6" x14ac:dyDescent="0.25">
      <c r="A629" s="32"/>
      <c r="B629" s="32"/>
      <c r="C629" s="32"/>
      <c r="D629" s="32"/>
      <c r="E629" s="42"/>
      <c r="F629" s="32"/>
    </row>
    <row r="630" spans="1:6" x14ac:dyDescent="0.25">
      <c r="A630" s="32"/>
      <c r="B630" s="32"/>
      <c r="C630" s="32"/>
      <c r="D630" s="32"/>
      <c r="E630" s="42"/>
      <c r="F630" s="32"/>
    </row>
    <row r="631" spans="1:6" x14ac:dyDescent="0.25">
      <c r="A631" s="32"/>
      <c r="B631" s="32"/>
      <c r="C631" s="32"/>
      <c r="D631" s="32"/>
      <c r="E631" s="42"/>
      <c r="F631" s="32"/>
    </row>
    <row r="632" spans="1:6" x14ac:dyDescent="0.25">
      <c r="A632" s="32"/>
      <c r="B632" s="32"/>
      <c r="C632" s="32"/>
      <c r="D632" s="32"/>
      <c r="E632" s="42"/>
      <c r="F632" s="32"/>
    </row>
    <row r="633" spans="1:6" x14ac:dyDescent="0.25">
      <c r="A633" s="32"/>
      <c r="B633" s="32"/>
      <c r="C633" s="32"/>
      <c r="D633" s="32"/>
      <c r="E633" s="42"/>
      <c r="F633" s="32"/>
    </row>
    <row r="634" spans="1:6" x14ac:dyDescent="0.25">
      <c r="A634" s="32"/>
      <c r="B634" s="32"/>
      <c r="C634" s="32"/>
      <c r="D634" s="32"/>
      <c r="E634" s="42"/>
      <c r="F634" s="32"/>
    </row>
    <row r="635" spans="1:6" x14ac:dyDescent="0.25">
      <c r="A635" s="32"/>
      <c r="B635" s="32"/>
      <c r="C635" s="32"/>
      <c r="D635" s="32"/>
      <c r="E635" s="42"/>
      <c r="F635" s="32"/>
    </row>
    <row r="636" spans="1:6" x14ac:dyDescent="0.25">
      <c r="A636" s="32"/>
      <c r="B636" s="32"/>
      <c r="C636" s="32"/>
      <c r="D636" s="32"/>
      <c r="E636" s="42"/>
      <c r="F636" s="32"/>
    </row>
    <row r="637" spans="1:6" x14ac:dyDescent="0.25">
      <c r="A637" s="32"/>
      <c r="B637" s="32"/>
      <c r="C637" s="32"/>
      <c r="D637" s="32"/>
      <c r="E637" s="42"/>
      <c r="F637" s="32"/>
    </row>
    <row r="638" spans="1:6" x14ac:dyDescent="0.25">
      <c r="A638" s="32"/>
      <c r="B638" s="32"/>
      <c r="C638" s="32"/>
      <c r="D638" s="32"/>
      <c r="E638" s="42"/>
      <c r="F638" s="32"/>
    </row>
    <row r="639" spans="1:6" x14ac:dyDescent="0.25">
      <c r="A639" s="32"/>
      <c r="B639" s="32"/>
      <c r="C639" s="32"/>
      <c r="D639" s="32"/>
      <c r="E639" s="42"/>
      <c r="F639" s="32"/>
    </row>
    <row r="640" spans="1:6" x14ac:dyDescent="0.25">
      <c r="A640" s="32"/>
      <c r="B640" s="32"/>
      <c r="C640" s="32"/>
      <c r="D640" s="32"/>
      <c r="E640" s="42"/>
      <c r="F640" s="32"/>
    </row>
    <row r="641" spans="1:6" x14ac:dyDescent="0.25">
      <c r="A641" s="32"/>
      <c r="B641" s="32"/>
      <c r="C641" s="32"/>
      <c r="D641" s="32"/>
      <c r="E641" s="42"/>
      <c r="F641" s="32"/>
    </row>
    <row r="642" spans="1:6" x14ac:dyDescent="0.25">
      <c r="A642" s="32"/>
      <c r="B642" s="32"/>
      <c r="C642" s="32"/>
      <c r="D642" s="32"/>
      <c r="E642" s="42"/>
      <c r="F642" s="32"/>
    </row>
    <row r="643" spans="1:6" x14ac:dyDescent="0.25">
      <c r="A643" s="32"/>
      <c r="B643" s="32"/>
      <c r="C643" s="32"/>
      <c r="D643" s="32"/>
      <c r="E643" s="42"/>
      <c r="F643" s="32"/>
    </row>
    <row r="644" spans="1:6" x14ac:dyDescent="0.25">
      <c r="A644" s="32"/>
      <c r="B644" s="32"/>
      <c r="C644" s="32"/>
      <c r="D644" s="32"/>
      <c r="E644" s="42"/>
      <c r="F644" s="32"/>
    </row>
    <row r="645" spans="1:6" x14ac:dyDescent="0.25">
      <c r="A645" s="32"/>
      <c r="B645" s="32"/>
      <c r="C645" s="32"/>
      <c r="D645" s="32"/>
      <c r="E645" s="42"/>
      <c r="F645" s="32"/>
    </row>
    <row r="646" spans="1:6" x14ac:dyDescent="0.25">
      <c r="A646" s="32"/>
      <c r="B646" s="32"/>
      <c r="C646" s="32"/>
      <c r="D646" s="32"/>
      <c r="E646" s="42"/>
      <c r="F646" s="32"/>
    </row>
    <row r="647" spans="1:6" x14ac:dyDescent="0.25">
      <c r="A647" s="32"/>
      <c r="B647" s="32"/>
      <c r="C647" s="32"/>
      <c r="D647" s="32"/>
      <c r="E647" s="42"/>
      <c r="F647" s="32"/>
    </row>
    <row r="648" spans="1:6" x14ac:dyDescent="0.25">
      <c r="A648" s="32"/>
      <c r="B648" s="32"/>
      <c r="C648" s="32"/>
      <c r="D648" s="32"/>
      <c r="E648" s="42"/>
      <c r="F648" s="32"/>
    </row>
    <row r="649" spans="1:6" x14ac:dyDescent="0.25">
      <c r="A649" s="32"/>
      <c r="B649" s="32"/>
      <c r="C649" s="32"/>
      <c r="D649" s="32"/>
      <c r="E649" s="42"/>
      <c r="F649" s="32"/>
    </row>
    <row r="650" spans="1:6" x14ac:dyDescent="0.25">
      <c r="A650" s="32"/>
      <c r="B650" s="32"/>
      <c r="C650" s="32"/>
      <c r="D650" s="32"/>
      <c r="E650" s="42"/>
      <c r="F650" s="32"/>
    </row>
    <row r="651" spans="1:6" x14ac:dyDescent="0.25">
      <c r="A651" s="32"/>
      <c r="B651" s="32"/>
      <c r="C651" s="32"/>
      <c r="D651" s="32"/>
      <c r="E651" s="42"/>
      <c r="F651" s="32"/>
    </row>
    <row r="652" spans="1:6" x14ac:dyDescent="0.25">
      <c r="A652" s="32"/>
      <c r="B652" s="32"/>
      <c r="C652" s="32"/>
      <c r="D652" s="32"/>
      <c r="E652" s="42"/>
      <c r="F652" s="32"/>
    </row>
    <row r="653" spans="1:6" x14ac:dyDescent="0.25">
      <c r="A653" s="32"/>
      <c r="B653" s="32"/>
      <c r="C653" s="32"/>
      <c r="D653" s="32"/>
      <c r="E653" s="42"/>
      <c r="F653" s="32"/>
    </row>
    <row r="654" spans="1:6" x14ac:dyDescent="0.25">
      <c r="A654" s="32"/>
      <c r="B654" s="32"/>
      <c r="C654" s="32"/>
      <c r="D654" s="32"/>
      <c r="E654" s="42"/>
      <c r="F654" s="32"/>
    </row>
    <row r="655" spans="1:6" x14ac:dyDescent="0.25">
      <c r="A655" s="32"/>
      <c r="B655" s="32"/>
      <c r="C655" s="32"/>
      <c r="D655" s="32"/>
      <c r="E655" s="42"/>
      <c r="F655" s="32"/>
    </row>
    <row r="656" spans="1:6" x14ac:dyDescent="0.25">
      <c r="A656" s="32"/>
      <c r="B656" s="32"/>
      <c r="C656" s="32"/>
      <c r="D656" s="32"/>
      <c r="E656" s="42"/>
      <c r="F656" s="32"/>
    </row>
    <row r="657" spans="1:6" x14ac:dyDescent="0.25">
      <c r="A657" s="32"/>
      <c r="B657" s="32"/>
      <c r="C657" s="32"/>
      <c r="D657" s="32"/>
      <c r="E657" s="42"/>
      <c r="F657" s="32"/>
    </row>
    <row r="658" spans="1:6" x14ac:dyDescent="0.25">
      <c r="A658" s="32"/>
      <c r="B658" s="32"/>
      <c r="C658" s="32"/>
      <c r="D658" s="32"/>
      <c r="E658" s="42"/>
      <c r="F658" s="32"/>
    </row>
    <row r="659" spans="1:6" x14ac:dyDescent="0.25">
      <c r="A659" s="32"/>
      <c r="B659" s="32"/>
      <c r="C659" s="32"/>
      <c r="D659" s="32"/>
      <c r="E659" s="42"/>
      <c r="F659" s="32"/>
    </row>
    <row r="660" spans="1:6" x14ac:dyDescent="0.25">
      <c r="A660" s="32"/>
      <c r="B660" s="32"/>
      <c r="C660" s="32"/>
      <c r="D660" s="32"/>
      <c r="E660" s="42"/>
      <c r="F660" s="32"/>
    </row>
    <row r="661" spans="1:6" x14ac:dyDescent="0.25">
      <c r="A661" s="32"/>
      <c r="B661" s="32"/>
      <c r="C661" s="32"/>
      <c r="D661" s="32"/>
      <c r="E661" s="42"/>
      <c r="F661" s="32"/>
    </row>
    <row r="662" spans="1:6" x14ac:dyDescent="0.25">
      <c r="A662" s="32"/>
      <c r="B662" s="32"/>
      <c r="C662" s="32"/>
      <c r="D662" s="32"/>
      <c r="E662" s="42"/>
      <c r="F662" s="32"/>
    </row>
    <row r="663" spans="1:6" x14ac:dyDescent="0.25">
      <c r="A663" s="32"/>
      <c r="B663" s="32"/>
      <c r="C663" s="32"/>
      <c r="D663" s="32"/>
      <c r="E663" s="42"/>
      <c r="F663" s="32"/>
    </row>
    <row r="664" spans="1:6" x14ac:dyDescent="0.25">
      <c r="A664" s="32"/>
      <c r="B664" s="32"/>
      <c r="C664" s="32"/>
      <c r="D664" s="32"/>
      <c r="E664" s="42"/>
      <c r="F664" s="32"/>
    </row>
    <row r="665" spans="1:6" x14ac:dyDescent="0.25">
      <c r="A665" s="32"/>
      <c r="B665" s="32"/>
      <c r="C665" s="32"/>
      <c r="D665" s="32"/>
      <c r="E665" s="42"/>
      <c r="F665" s="32"/>
    </row>
    <row r="666" spans="1:6" x14ac:dyDescent="0.25">
      <c r="A666" s="32"/>
      <c r="B666" s="32"/>
      <c r="C666" s="32"/>
      <c r="D666" s="32"/>
      <c r="E666" s="42"/>
      <c r="F666" s="32"/>
    </row>
    <row r="667" spans="1:6" x14ac:dyDescent="0.25">
      <c r="A667" s="32"/>
      <c r="B667" s="32"/>
      <c r="C667" s="32"/>
      <c r="D667" s="32"/>
      <c r="E667" s="42"/>
      <c r="F667" s="32"/>
    </row>
    <row r="668" spans="1:6" x14ac:dyDescent="0.25">
      <c r="A668" s="32"/>
      <c r="B668" s="32"/>
      <c r="C668" s="32"/>
      <c r="D668" s="32"/>
      <c r="E668" s="42"/>
      <c r="F668" s="32"/>
    </row>
    <row r="669" spans="1:6" x14ac:dyDescent="0.25">
      <c r="A669" s="32"/>
      <c r="B669" s="32"/>
      <c r="C669" s="32"/>
      <c r="D669" s="32"/>
      <c r="E669" s="42"/>
      <c r="F669" s="32"/>
    </row>
    <row r="670" spans="1:6" x14ac:dyDescent="0.25">
      <c r="A670" s="32"/>
      <c r="B670" s="32"/>
      <c r="C670" s="32"/>
      <c r="D670" s="32"/>
      <c r="E670" s="42"/>
      <c r="F670" s="32"/>
    </row>
    <row r="671" spans="1:6" x14ac:dyDescent="0.25">
      <c r="A671" s="32"/>
      <c r="B671" s="32"/>
      <c r="C671" s="32"/>
      <c r="D671" s="32"/>
      <c r="E671" s="42"/>
      <c r="F671" s="32"/>
    </row>
    <row r="672" spans="1:6" x14ac:dyDescent="0.25">
      <c r="A672" s="32"/>
      <c r="B672" s="32"/>
      <c r="C672" s="32"/>
      <c r="D672" s="32"/>
      <c r="E672" s="42"/>
      <c r="F672" s="32"/>
    </row>
    <row r="673" spans="1:6" x14ac:dyDescent="0.25">
      <c r="A673" s="32"/>
      <c r="B673" s="32"/>
      <c r="C673" s="32"/>
      <c r="D673" s="32"/>
      <c r="E673" s="42"/>
      <c r="F673" s="32"/>
    </row>
    <row r="674" spans="1:6" x14ac:dyDescent="0.25">
      <c r="A674" s="32"/>
      <c r="B674" s="32"/>
      <c r="C674" s="32"/>
      <c r="D674" s="32"/>
      <c r="E674" s="42"/>
      <c r="F674" s="32"/>
    </row>
    <row r="675" spans="1:6" x14ac:dyDescent="0.25">
      <c r="A675" s="32"/>
      <c r="B675" s="32"/>
      <c r="C675" s="32"/>
      <c r="D675" s="32"/>
      <c r="E675" s="42"/>
      <c r="F675" s="32"/>
    </row>
    <row r="676" spans="1:6" x14ac:dyDescent="0.25">
      <c r="A676" s="32"/>
      <c r="B676" s="32"/>
      <c r="C676" s="32"/>
      <c r="D676" s="32"/>
      <c r="E676" s="42"/>
      <c r="F676" s="32"/>
    </row>
    <row r="677" spans="1:6" x14ac:dyDescent="0.25">
      <c r="A677" s="32"/>
      <c r="B677" s="32"/>
      <c r="C677" s="32"/>
      <c r="D677" s="32"/>
      <c r="E677" s="42"/>
      <c r="F677" s="32"/>
    </row>
    <row r="678" spans="1:6" x14ac:dyDescent="0.25">
      <c r="A678" s="32"/>
      <c r="B678" s="32"/>
      <c r="C678" s="32"/>
      <c r="D678" s="32"/>
      <c r="E678" s="42"/>
      <c r="F678" s="32"/>
    </row>
    <row r="679" spans="1:6" x14ac:dyDescent="0.25">
      <c r="A679" s="32"/>
      <c r="B679" s="32"/>
      <c r="C679" s="32"/>
      <c r="D679" s="32"/>
      <c r="E679" s="42"/>
      <c r="F679" s="32"/>
    </row>
    <row r="680" spans="1:6" x14ac:dyDescent="0.25">
      <c r="A680" s="32"/>
      <c r="B680" s="32"/>
      <c r="C680" s="32"/>
      <c r="D680" s="32"/>
      <c r="E680" s="42"/>
      <c r="F680" s="32"/>
    </row>
    <row r="681" spans="1:6" x14ac:dyDescent="0.25">
      <c r="A681" s="32"/>
      <c r="B681" s="32"/>
      <c r="C681" s="32"/>
      <c r="D681" s="32"/>
      <c r="E681" s="42"/>
      <c r="F681" s="32"/>
    </row>
    <row r="682" spans="1:6" x14ac:dyDescent="0.25">
      <c r="A682" s="32"/>
      <c r="B682" s="32"/>
      <c r="C682" s="32"/>
      <c r="D682" s="32"/>
      <c r="E682" s="42"/>
      <c r="F682" s="32"/>
    </row>
    <row r="683" spans="1:6" x14ac:dyDescent="0.25">
      <c r="A683" s="32"/>
      <c r="B683" s="32"/>
      <c r="C683" s="32"/>
      <c r="D683" s="32"/>
      <c r="E683" s="42"/>
      <c r="F683" s="32"/>
    </row>
    <row r="684" spans="1:6" x14ac:dyDescent="0.25">
      <c r="A684" s="32"/>
      <c r="B684" s="32"/>
      <c r="C684" s="32"/>
      <c r="D684" s="32"/>
      <c r="E684" s="42"/>
      <c r="F684" s="32"/>
    </row>
    <row r="685" spans="1:6" x14ac:dyDescent="0.25">
      <c r="A685" s="32"/>
      <c r="B685" s="32"/>
      <c r="C685" s="32"/>
      <c r="D685" s="32"/>
      <c r="E685" s="42"/>
      <c r="F685" s="32"/>
    </row>
    <row r="686" spans="1:6" x14ac:dyDescent="0.25">
      <c r="A686" s="32"/>
      <c r="B686" s="32"/>
      <c r="C686" s="32"/>
      <c r="D686" s="32"/>
      <c r="E686" s="42"/>
      <c r="F686" s="32"/>
    </row>
    <row r="687" spans="1:6" x14ac:dyDescent="0.25">
      <c r="A687" s="32"/>
      <c r="B687" s="32"/>
      <c r="C687" s="32"/>
      <c r="D687" s="32"/>
      <c r="E687" s="42"/>
      <c r="F687" s="32"/>
    </row>
    <row r="688" spans="1:6" x14ac:dyDescent="0.25">
      <c r="A688" s="32"/>
      <c r="B688" s="32"/>
      <c r="C688" s="32"/>
      <c r="D688" s="32"/>
      <c r="E688" s="42"/>
      <c r="F688" s="32"/>
    </row>
    <row r="689" spans="1:6" x14ac:dyDescent="0.25">
      <c r="A689" s="32"/>
      <c r="B689" s="32"/>
      <c r="C689" s="32"/>
      <c r="D689" s="32"/>
      <c r="E689" s="42"/>
      <c r="F689" s="32"/>
    </row>
    <row r="690" spans="1:6" x14ac:dyDescent="0.25">
      <c r="A690" s="32"/>
      <c r="B690" s="32"/>
      <c r="C690" s="32"/>
      <c r="D690" s="32"/>
      <c r="E690" s="42"/>
      <c r="F690" s="32"/>
    </row>
    <row r="691" spans="1:6" x14ac:dyDescent="0.25">
      <c r="A691" s="32"/>
      <c r="B691" s="32"/>
      <c r="C691" s="32"/>
      <c r="D691" s="32"/>
      <c r="E691" s="42"/>
      <c r="F691" s="32"/>
    </row>
    <row r="692" spans="1:6" x14ac:dyDescent="0.25">
      <c r="A692" s="32"/>
      <c r="B692" s="32"/>
      <c r="C692" s="32"/>
      <c r="D692" s="32"/>
      <c r="E692" s="42"/>
      <c r="F692" s="32"/>
    </row>
    <row r="693" spans="1:6" x14ac:dyDescent="0.25">
      <c r="A693" s="32"/>
      <c r="B693" s="32"/>
      <c r="C693" s="32"/>
      <c r="D693" s="32"/>
      <c r="E693" s="42"/>
      <c r="F693" s="32"/>
    </row>
    <row r="694" spans="1:6" x14ac:dyDescent="0.25">
      <c r="A694" s="32"/>
      <c r="B694" s="32"/>
      <c r="C694" s="32"/>
      <c r="D694" s="32"/>
      <c r="E694" s="42"/>
      <c r="F694" s="32"/>
    </row>
    <row r="695" spans="1:6" x14ac:dyDescent="0.25">
      <c r="A695" s="32"/>
      <c r="B695" s="32"/>
      <c r="C695" s="32"/>
      <c r="D695" s="32"/>
      <c r="E695" s="42"/>
      <c r="F695" s="32"/>
    </row>
    <row r="696" spans="1:6" x14ac:dyDescent="0.25">
      <c r="A696" s="32"/>
      <c r="B696" s="32"/>
      <c r="C696" s="32"/>
      <c r="D696" s="32"/>
      <c r="E696" s="42"/>
      <c r="F696" s="32"/>
    </row>
    <row r="697" spans="1:6" x14ac:dyDescent="0.25">
      <c r="A697" s="32"/>
      <c r="B697" s="32"/>
      <c r="C697" s="32"/>
      <c r="D697" s="32"/>
      <c r="E697" s="42"/>
      <c r="F697" s="32"/>
    </row>
    <row r="698" spans="1:6" x14ac:dyDescent="0.25">
      <c r="A698" s="32"/>
      <c r="B698" s="32"/>
      <c r="C698" s="32"/>
      <c r="D698" s="32"/>
      <c r="E698" s="42"/>
      <c r="F698" s="32"/>
    </row>
    <row r="699" spans="1:6" x14ac:dyDescent="0.25">
      <c r="A699" s="32"/>
      <c r="B699" s="32"/>
      <c r="C699" s="32"/>
      <c r="D699" s="32"/>
      <c r="E699" s="42"/>
      <c r="F699" s="32"/>
    </row>
    <row r="700" spans="1:6" x14ac:dyDescent="0.25">
      <c r="A700" s="32"/>
      <c r="B700" s="32"/>
      <c r="C700" s="32"/>
      <c r="D700" s="32"/>
      <c r="E700" s="42"/>
      <c r="F700" s="32"/>
    </row>
    <row r="701" spans="1:6" x14ac:dyDescent="0.25">
      <c r="A701" s="32"/>
      <c r="B701" s="32"/>
      <c r="C701" s="32"/>
      <c r="D701" s="32"/>
      <c r="E701" s="42"/>
      <c r="F701" s="32"/>
    </row>
    <row r="702" spans="1:6" x14ac:dyDescent="0.25">
      <c r="A702" s="32"/>
      <c r="B702" s="32"/>
      <c r="C702" s="32"/>
      <c r="D702" s="32"/>
      <c r="E702" s="42"/>
      <c r="F702" s="32"/>
    </row>
    <row r="703" spans="1:6" x14ac:dyDescent="0.25">
      <c r="A703" s="32"/>
      <c r="B703" s="32"/>
      <c r="C703" s="32"/>
      <c r="D703" s="32"/>
      <c r="E703" s="42"/>
      <c r="F703" s="32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25" priority="2" operator="lessThan">
      <formula>59</formula>
    </cfRule>
  </conditionalFormatting>
  <conditionalFormatting sqref="E9:E1048576">
    <cfRule type="cellIs" dxfId="24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X8"/>
  <sheetViews>
    <sheetView workbookViewId="0">
      <selection activeCell="AA1" sqref="AA1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5703125" style="12" customWidth="1"/>
    <col min="23" max="24" width="5.85546875" style="12" customWidth="1"/>
    <col min="25" max="26" width="5.28515625" style="12" customWidth="1"/>
    <col min="27" max="27" width="5.5703125" style="12" customWidth="1"/>
    <col min="28" max="28" width="6" style="12" customWidth="1"/>
    <col min="29" max="31" width="5.85546875" style="12" customWidth="1"/>
    <col min="32" max="32" width="6.28515625" style="12" customWidth="1"/>
    <col min="33" max="16384" width="11.42578125" style="12"/>
  </cols>
  <sheetData>
    <row r="1" spans="1:24" ht="31.5" x14ac:dyDescent="0.5">
      <c r="A1" s="132" t="s">
        <v>127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</row>
    <row r="2" spans="1:24" ht="113.25" x14ac:dyDescent="0.35">
      <c r="A2" s="54"/>
      <c r="B2" s="54"/>
      <c r="C2" s="55" t="s">
        <v>90</v>
      </c>
      <c r="D2" s="55" t="s">
        <v>91</v>
      </c>
      <c r="E2" s="55" t="s">
        <v>85</v>
      </c>
      <c r="F2" s="55" t="s">
        <v>86</v>
      </c>
      <c r="G2" s="55" t="s">
        <v>73</v>
      </c>
      <c r="H2" s="55" t="s">
        <v>74</v>
      </c>
      <c r="I2" s="55" t="s">
        <v>75</v>
      </c>
      <c r="J2" s="55" t="s">
        <v>76</v>
      </c>
      <c r="K2" s="55" t="s">
        <v>77</v>
      </c>
      <c r="L2" s="56" t="s">
        <v>114</v>
      </c>
      <c r="M2" s="56" t="s">
        <v>79</v>
      </c>
      <c r="N2" s="56" t="s">
        <v>80</v>
      </c>
      <c r="O2" s="56" t="s">
        <v>115</v>
      </c>
      <c r="P2" s="56" t="s">
        <v>116</v>
      </c>
      <c r="Q2" s="56" t="s">
        <v>87</v>
      </c>
      <c r="R2" s="56" t="s">
        <v>88</v>
      </c>
      <c r="S2" s="56" t="s">
        <v>89</v>
      </c>
      <c r="T2" s="56" t="s">
        <v>117</v>
      </c>
      <c r="U2" s="56" t="s">
        <v>118</v>
      </c>
      <c r="V2" s="57" t="s">
        <v>22</v>
      </c>
      <c r="X2" s="66"/>
    </row>
    <row r="3" spans="1:24" ht="17.25" thickBot="1" x14ac:dyDescent="0.35">
      <c r="A3" s="58" t="s">
        <v>20</v>
      </c>
      <c r="B3" s="59" t="s">
        <v>19</v>
      </c>
      <c r="C3" s="60" t="s">
        <v>92</v>
      </c>
      <c r="D3" s="61" t="s">
        <v>93</v>
      </c>
      <c r="E3" s="61" t="s">
        <v>94</v>
      </c>
      <c r="F3" s="61" t="s">
        <v>95</v>
      </c>
      <c r="G3" s="61" t="s">
        <v>96</v>
      </c>
      <c r="H3" s="61" t="s">
        <v>97</v>
      </c>
      <c r="I3" s="61" t="s">
        <v>98</v>
      </c>
      <c r="J3" s="61" t="s">
        <v>99</v>
      </c>
      <c r="K3" s="61" t="s">
        <v>100</v>
      </c>
      <c r="L3" s="61" t="s">
        <v>101</v>
      </c>
      <c r="M3" s="61" t="s">
        <v>102</v>
      </c>
      <c r="N3" s="61" t="s">
        <v>103</v>
      </c>
      <c r="O3" s="61" t="s">
        <v>104</v>
      </c>
      <c r="P3" s="61" t="s">
        <v>105</v>
      </c>
      <c r="Q3" s="61" t="s">
        <v>106</v>
      </c>
      <c r="R3" s="61" t="s">
        <v>107</v>
      </c>
      <c r="S3" s="61" t="s">
        <v>108</v>
      </c>
      <c r="T3" s="61" t="s">
        <v>109</v>
      </c>
      <c r="U3" s="61" t="s">
        <v>110</v>
      </c>
      <c r="V3" s="61" t="s">
        <v>111</v>
      </c>
    </row>
    <row r="4" spans="1:24" ht="17.25" thickBot="1" x14ac:dyDescent="0.35">
      <c r="A4" s="68" t="s">
        <v>35</v>
      </c>
      <c r="B4" s="68" t="s">
        <v>36</v>
      </c>
      <c r="C4" s="63">
        <v>10</v>
      </c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>
        <v>1.4</v>
      </c>
    </row>
    <row r="5" spans="1:24" ht="17.25" thickBot="1" x14ac:dyDescent="0.35">
      <c r="A5" s="68" t="s">
        <v>35</v>
      </c>
      <c r="B5" s="68" t="s">
        <v>36</v>
      </c>
      <c r="C5" s="63">
        <v>10</v>
      </c>
      <c r="D5" s="64"/>
      <c r="E5" s="64">
        <v>10</v>
      </c>
      <c r="F5" s="64"/>
      <c r="G5" s="64">
        <v>25</v>
      </c>
      <c r="H5" s="64"/>
      <c r="I5" s="64"/>
      <c r="J5" s="64"/>
      <c r="K5" s="64"/>
      <c r="L5" s="64">
        <v>10</v>
      </c>
      <c r="M5" s="64"/>
      <c r="N5" s="64">
        <v>10</v>
      </c>
      <c r="O5" s="64"/>
      <c r="P5" s="64"/>
      <c r="Q5" s="64">
        <v>20</v>
      </c>
      <c r="R5" s="64"/>
      <c r="S5" s="64">
        <v>10</v>
      </c>
      <c r="T5" s="64"/>
      <c r="U5" s="64"/>
      <c r="V5" s="64">
        <v>13.2</v>
      </c>
    </row>
    <row r="6" spans="1:24" ht="17.25" thickBot="1" x14ac:dyDescent="0.35">
      <c r="A6" s="69" t="s">
        <v>41</v>
      </c>
      <c r="B6" s="69" t="s">
        <v>42</v>
      </c>
      <c r="C6" s="63">
        <v>20</v>
      </c>
      <c r="D6" s="64">
        <v>6</v>
      </c>
      <c r="E6" s="64">
        <v>15</v>
      </c>
      <c r="F6" s="64">
        <v>8</v>
      </c>
      <c r="G6" s="64">
        <v>5</v>
      </c>
      <c r="H6" s="64">
        <v>8</v>
      </c>
      <c r="I6" s="64">
        <v>9</v>
      </c>
      <c r="J6" s="64">
        <v>10</v>
      </c>
      <c r="K6" s="64">
        <v>9</v>
      </c>
      <c r="L6" s="64">
        <v>9</v>
      </c>
      <c r="M6" s="64">
        <v>15</v>
      </c>
      <c r="N6" s="64">
        <v>60</v>
      </c>
      <c r="O6" s="64">
        <v>15</v>
      </c>
      <c r="P6" s="64">
        <v>15</v>
      </c>
      <c r="Q6" s="64">
        <v>10</v>
      </c>
      <c r="R6" s="64">
        <v>15</v>
      </c>
      <c r="S6" s="64">
        <v>18</v>
      </c>
      <c r="T6" s="64">
        <v>15</v>
      </c>
      <c r="U6" s="64">
        <v>15</v>
      </c>
      <c r="V6" s="64">
        <v>15</v>
      </c>
    </row>
    <row r="7" spans="1:24" ht="17.25" thickBot="1" x14ac:dyDescent="0.35">
      <c r="A7" s="69" t="s">
        <v>39</v>
      </c>
      <c r="B7" s="69" t="s">
        <v>40</v>
      </c>
      <c r="C7" s="63">
        <v>20</v>
      </c>
      <c r="D7" s="64">
        <v>7</v>
      </c>
      <c r="E7" s="64">
        <v>15</v>
      </c>
      <c r="F7" s="64">
        <v>8</v>
      </c>
      <c r="G7" s="64">
        <v>7</v>
      </c>
      <c r="H7" s="64">
        <v>7</v>
      </c>
      <c r="I7" s="64">
        <v>10</v>
      </c>
      <c r="J7" s="64">
        <v>9</v>
      </c>
      <c r="K7" s="64">
        <v>9</v>
      </c>
      <c r="L7" s="64">
        <v>5</v>
      </c>
      <c r="M7" s="64">
        <v>15</v>
      </c>
      <c r="N7" s="64">
        <v>55</v>
      </c>
      <c r="O7" s="64">
        <v>15</v>
      </c>
      <c r="P7" s="64">
        <v>15</v>
      </c>
      <c r="Q7" s="64">
        <v>9</v>
      </c>
      <c r="R7" s="64">
        <v>10</v>
      </c>
      <c r="S7" s="64">
        <v>10</v>
      </c>
      <c r="T7" s="64">
        <v>20</v>
      </c>
      <c r="U7" s="64">
        <v>10</v>
      </c>
      <c r="V7" s="64">
        <v>20</v>
      </c>
    </row>
    <row r="8" spans="1:24" x14ac:dyDescent="0.25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</row>
  </sheetData>
  <mergeCells count="1">
    <mergeCell ref="A1:W1"/>
  </mergeCells>
  <pageMargins left="0.24" right="0.6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Y9"/>
  <sheetViews>
    <sheetView workbookViewId="0">
      <selection activeCell="Y2" sqref="Y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5703125" style="12" customWidth="1"/>
    <col min="23" max="23" width="7.42578125" style="12" customWidth="1"/>
    <col min="24" max="25" width="5.85546875" style="12" customWidth="1"/>
    <col min="26" max="27" width="5.28515625" style="12" customWidth="1"/>
    <col min="28" max="28" width="5.5703125" style="12" customWidth="1"/>
    <col min="29" max="29" width="6" style="12" customWidth="1"/>
    <col min="30" max="32" width="5.85546875" style="12" customWidth="1"/>
    <col min="33" max="33" width="6.28515625" style="12" customWidth="1"/>
    <col min="34" max="16384" width="11.42578125" style="12"/>
  </cols>
  <sheetData>
    <row r="1" spans="1:25" ht="31.5" x14ac:dyDescent="0.5">
      <c r="A1" s="132" t="s">
        <v>128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</row>
    <row r="2" spans="1:25" ht="113.25" x14ac:dyDescent="0.35">
      <c r="A2" s="54"/>
      <c r="B2" s="54"/>
      <c r="C2" s="55" t="s">
        <v>90</v>
      </c>
      <c r="D2" s="55" t="s">
        <v>91</v>
      </c>
      <c r="E2" s="55" t="s">
        <v>85</v>
      </c>
      <c r="F2" s="55" t="s">
        <v>86</v>
      </c>
      <c r="G2" s="55" t="s">
        <v>73</v>
      </c>
      <c r="H2" s="55" t="s">
        <v>74</v>
      </c>
      <c r="I2" s="55" t="s">
        <v>75</v>
      </c>
      <c r="J2" s="55" t="s">
        <v>76</v>
      </c>
      <c r="K2" s="55" t="s">
        <v>77</v>
      </c>
      <c r="L2" s="56" t="s">
        <v>114</v>
      </c>
      <c r="M2" s="56" t="s">
        <v>79</v>
      </c>
      <c r="N2" s="56" t="s">
        <v>80</v>
      </c>
      <c r="O2" s="56" t="s">
        <v>115</v>
      </c>
      <c r="P2" s="56" t="s">
        <v>116</v>
      </c>
      <c r="Q2" s="56" t="s">
        <v>87</v>
      </c>
      <c r="R2" s="56" t="s">
        <v>88</v>
      </c>
      <c r="S2" s="56" t="s">
        <v>89</v>
      </c>
      <c r="T2" s="56" t="s">
        <v>117</v>
      </c>
      <c r="U2" s="56" t="s">
        <v>118</v>
      </c>
      <c r="V2" s="56" t="s">
        <v>119</v>
      </c>
      <c r="W2" s="57" t="s">
        <v>22</v>
      </c>
      <c r="Y2" s="66"/>
    </row>
    <row r="3" spans="1:25" ht="17.25" thickBot="1" x14ac:dyDescent="0.35">
      <c r="A3" s="58" t="s">
        <v>20</v>
      </c>
      <c r="B3" s="59" t="s">
        <v>19</v>
      </c>
      <c r="C3" s="60" t="s">
        <v>92</v>
      </c>
      <c r="D3" s="61" t="s">
        <v>93</v>
      </c>
      <c r="E3" s="61" t="s">
        <v>94</v>
      </c>
      <c r="F3" s="61" t="s">
        <v>95</v>
      </c>
      <c r="G3" s="61" t="s">
        <v>96</v>
      </c>
      <c r="H3" s="61" t="s">
        <v>97</v>
      </c>
      <c r="I3" s="61" t="s">
        <v>98</v>
      </c>
      <c r="J3" s="61" t="s">
        <v>99</v>
      </c>
      <c r="K3" s="61" t="s">
        <v>100</v>
      </c>
      <c r="L3" s="61" t="s">
        <v>101</v>
      </c>
      <c r="M3" s="61" t="s">
        <v>102</v>
      </c>
      <c r="N3" s="61" t="s">
        <v>103</v>
      </c>
      <c r="O3" s="61" t="s">
        <v>104</v>
      </c>
      <c r="P3" s="61" t="s">
        <v>105</v>
      </c>
      <c r="Q3" s="61" t="s">
        <v>106</v>
      </c>
      <c r="R3" s="61" t="s">
        <v>107</v>
      </c>
      <c r="S3" s="61" t="s">
        <v>108</v>
      </c>
      <c r="T3" s="61" t="s">
        <v>109</v>
      </c>
      <c r="U3" s="61" t="s">
        <v>110</v>
      </c>
      <c r="V3" s="61" t="s">
        <v>111</v>
      </c>
      <c r="W3" s="61" t="s">
        <v>112</v>
      </c>
    </row>
    <row r="4" spans="1:25" ht="17.25" thickBot="1" x14ac:dyDescent="0.35">
      <c r="A4" s="68" t="s">
        <v>33</v>
      </c>
      <c r="B4" s="68" t="s">
        <v>34</v>
      </c>
      <c r="C4" s="63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>
        <v>0</v>
      </c>
    </row>
    <row r="5" spans="1:25" ht="17.25" thickBot="1" x14ac:dyDescent="0.35">
      <c r="A5" s="68" t="s">
        <v>31</v>
      </c>
      <c r="B5" s="68" t="s">
        <v>32</v>
      </c>
      <c r="C5" s="63">
        <v>10</v>
      </c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>
        <v>10</v>
      </c>
      <c r="R5" s="64">
        <v>10</v>
      </c>
      <c r="S5" s="64"/>
      <c r="T5" s="64"/>
      <c r="U5" s="64"/>
      <c r="V5" s="64"/>
      <c r="W5" s="64">
        <v>8.3000000000000007</v>
      </c>
    </row>
    <row r="6" spans="1:25" ht="17.25" thickBot="1" x14ac:dyDescent="0.35">
      <c r="A6" s="68" t="s">
        <v>29</v>
      </c>
      <c r="B6" s="68" t="s">
        <v>30</v>
      </c>
      <c r="C6" s="63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>
        <v>0</v>
      </c>
    </row>
    <row r="7" spans="1:25" ht="21.75" thickBot="1" x14ac:dyDescent="0.4">
      <c r="A7" s="69" t="s">
        <v>41</v>
      </c>
      <c r="B7" s="69" t="s">
        <v>42</v>
      </c>
      <c r="C7" s="63">
        <v>20</v>
      </c>
      <c r="D7" s="64">
        <v>6</v>
      </c>
      <c r="E7" s="64">
        <v>15</v>
      </c>
      <c r="F7" s="64">
        <v>8</v>
      </c>
      <c r="G7" s="64">
        <v>5</v>
      </c>
      <c r="H7" s="64">
        <v>8</v>
      </c>
      <c r="I7" s="64">
        <v>9</v>
      </c>
      <c r="J7" s="64">
        <v>10</v>
      </c>
      <c r="K7" s="64">
        <v>9</v>
      </c>
      <c r="L7" s="64">
        <v>9</v>
      </c>
      <c r="M7" s="64">
        <v>15</v>
      </c>
      <c r="N7" s="64">
        <v>60</v>
      </c>
      <c r="O7" s="64">
        <v>15</v>
      </c>
      <c r="P7" s="64">
        <v>15</v>
      </c>
      <c r="Q7" s="64">
        <v>10</v>
      </c>
      <c r="R7" s="64">
        <v>15</v>
      </c>
      <c r="S7" s="64">
        <v>18</v>
      </c>
      <c r="T7" s="64">
        <v>15</v>
      </c>
      <c r="U7" s="64">
        <v>15</v>
      </c>
      <c r="V7" s="64">
        <v>15</v>
      </c>
      <c r="W7" s="65">
        <v>73</v>
      </c>
    </row>
    <row r="8" spans="1:25" ht="21.75" thickBot="1" x14ac:dyDescent="0.4">
      <c r="A8" s="69" t="s">
        <v>39</v>
      </c>
      <c r="B8" s="69" t="s">
        <v>40</v>
      </c>
      <c r="C8" s="63">
        <v>20</v>
      </c>
      <c r="D8" s="64">
        <v>7</v>
      </c>
      <c r="E8" s="64">
        <v>15</v>
      </c>
      <c r="F8" s="64">
        <v>8</v>
      </c>
      <c r="G8" s="64">
        <v>7</v>
      </c>
      <c r="H8" s="64">
        <v>7</v>
      </c>
      <c r="I8" s="64">
        <v>10</v>
      </c>
      <c r="J8" s="64">
        <v>9</v>
      </c>
      <c r="K8" s="64">
        <v>9</v>
      </c>
      <c r="L8" s="64">
        <v>5</v>
      </c>
      <c r="M8" s="64">
        <v>15</v>
      </c>
      <c r="N8" s="64">
        <v>55</v>
      </c>
      <c r="O8" s="64">
        <v>15</v>
      </c>
      <c r="P8" s="64">
        <v>15</v>
      </c>
      <c r="Q8" s="64">
        <v>9</v>
      </c>
      <c r="R8" s="64">
        <v>10</v>
      </c>
      <c r="S8" s="64">
        <v>10</v>
      </c>
      <c r="T8" s="64">
        <v>20</v>
      </c>
      <c r="U8" s="64">
        <v>10</v>
      </c>
      <c r="V8" s="64">
        <v>20</v>
      </c>
      <c r="W8" s="65">
        <v>69</v>
      </c>
    </row>
    <row r="9" spans="1:25" x14ac:dyDescent="0.2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</row>
  </sheetData>
  <mergeCells count="1">
    <mergeCell ref="A1:W1"/>
  </mergeCells>
  <pageMargins left="0.28000000000000003" right="0.25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X9"/>
  <sheetViews>
    <sheetView workbookViewId="0">
      <selection activeCell="AA2" sqref="AA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5703125" style="12" customWidth="1"/>
    <col min="23" max="24" width="5.85546875" style="12" customWidth="1"/>
    <col min="25" max="26" width="5.28515625" style="12" customWidth="1"/>
    <col min="27" max="27" width="5.5703125" style="12" customWidth="1"/>
    <col min="28" max="28" width="6" style="12" customWidth="1"/>
    <col min="29" max="31" width="5.85546875" style="12" customWidth="1"/>
    <col min="32" max="32" width="6.28515625" style="12" customWidth="1"/>
    <col min="33" max="16384" width="11.42578125" style="12"/>
  </cols>
  <sheetData>
    <row r="1" spans="1:24" ht="31.5" x14ac:dyDescent="0.5">
      <c r="A1" s="132" t="s">
        <v>129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</row>
    <row r="2" spans="1:24" ht="113.25" x14ac:dyDescent="0.35">
      <c r="A2" s="54"/>
      <c r="B2" s="54"/>
      <c r="C2" s="55" t="s">
        <v>90</v>
      </c>
      <c r="D2" s="55" t="s">
        <v>91</v>
      </c>
      <c r="E2" s="55" t="s">
        <v>85</v>
      </c>
      <c r="F2" s="55" t="s">
        <v>86</v>
      </c>
      <c r="G2" s="55" t="s">
        <v>73</v>
      </c>
      <c r="H2" s="55" t="s">
        <v>74</v>
      </c>
      <c r="I2" s="55" t="s">
        <v>75</v>
      </c>
      <c r="J2" s="55" t="s">
        <v>76</v>
      </c>
      <c r="K2" s="55" t="s">
        <v>77</v>
      </c>
      <c r="L2" s="56" t="s">
        <v>114</v>
      </c>
      <c r="M2" s="56" t="s">
        <v>79</v>
      </c>
      <c r="N2" s="56" t="s">
        <v>80</v>
      </c>
      <c r="O2" s="56" t="s">
        <v>115</v>
      </c>
      <c r="P2" s="56" t="s">
        <v>116</v>
      </c>
      <c r="Q2" s="56" t="s">
        <v>87</v>
      </c>
      <c r="R2" s="56" t="s">
        <v>88</v>
      </c>
      <c r="S2" s="56" t="s">
        <v>89</v>
      </c>
      <c r="T2" s="56" t="s">
        <v>117</v>
      </c>
      <c r="U2" s="56" t="s">
        <v>118</v>
      </c>
      <c r="V2" s="57" t="s">
        <v>22</v>
      </c>
      <c r="X2" s="66"/>
    </row>
    <row r="3" spans="1:24" ht="17.25" thickBot="1" x14ac:dyDescent="0.35">
      <c r="A3" s="58" t="s">
        <v>20</v>
      </c>
      <c r="B3" s="59" t="s">
        <v>19</v>
      </c>
      <c r="C3" s="60" t="s">
        <v>92</v>
      </c>
      <c r="D3" s="61" t="s">
        <v>93</v>
      </c>
      <c r="E3" s="61" t="s">
        <v>94</v>
      </c>
      <c r="F3" s="61" t="s">
        <v>95</v>
      </c>
      <c r="G3" s="61" t="s">
        <v>96</v>
      </c>
      <c r="H3" s="61" t="s">
        <v>97</v>
      </c>
      <c r="I3" s="61" t="s">
        <v>98</v>
      </c>
      <c r="J3" s="61" t="s">
        <v>99</v>
      </c>
      <c r="K3" s="61" t="s">
        <v>100</v>
      </c>
      <c r="L3" s="61" t="s">
        <v>101</v>
      </c>
      <c r="M3" s="61" t="s">
        <v>102</v>
      </c>
      <c r="N3" s="61" t="s">
        <v>103</v>
      </c>
      <c r="O3" s="61" t="s">
        <v>104</v>
      </c>
      <c r="P3" s="61" t="s">
        <v>105</v>
      </c>
      <c r="Q3" s="61" t="s">
        <v>106</v>
      </c>
      <c r="R3" s="61" t="s">
        <v>107</v>
      </c>
      <c r="S3" s="61" t="s">
        <v>108</v>
      </c>
      <c r="T3" s="61" t="s">
        <v>109</v>
      </c>
      <c r="U3" s="61" t="s">
        <v>110</v>
      </c>
      <c r="V3" s="61" t="s">
        <v>111</v>
      </c>
    </row>
    <row r="4" spans="1:24" ht="17.25" thickBot="1" x14ac:dyDescent="0.35">
      <c r="A4" s="67" t="s">
        <v>37</v>
      </c>
      <c r="B4" s="67" t="s">
        <v>38</v>
      </c>
      <c r="C4" s="63">
        <v>10</v>
      </c>
      <c r="D4" s="64">
        <v>10</v>
      </c>
      <c r="E4" s="64"/>
      <c r="F4" s="64"/>
      <c r="G4" s="64">
        <v>20</v>
      </c>
      <c r="H4" s="64"/>
      <c r="I4" s="64">
        <v>20</v>
      </c>
      <c r="J4" s="64"/>
      <c r="K4" s="64">
        <v>20</v>
      </c>
      <c r="L4" s="64"/>
      <c r="M4" s="64">
        <v>20</v>
      </c>
      <c r="N4" s="64"/>
      <c r="O4" s="64">
        <v>20</v>
      </c>
      <c r="P4" s="64"/>
      <c r="Q4" s="64"/>
      <c r="R4" s="64">
        <v>50</v>
      </c>
      <c r="S4" s="64">
        <v>50</v>
      </c>
      <c r="T4" s="64"/>
      <c r="U4" s="64"/>
      <c r="V4" s="64">
        <v>30.6</v>
      </c>
    </row>
    <row r="5" spans="1:24" ht="17.25" thickBot="1" x14ac:dyDescent="0.35">
      <c r="A5" s="67" t="s">
        <v>37</v>
      </c>
      <c r="B5" s="67" t="s">
        <v>38</v>
      </c>
      <c r="C5" s="63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>
        <v>0</v>
      </c>
    </row>
    <row r="6" spans="1:24" ht="17.25" thickBot="1" x14ac:dyDescent="0.35">
      <c r="A6" s="67" t="s">
        <v>25</v>
      </c>
      <c r="B6" s="67" t="s">
        <v>25</v>
      </c>
      <c r="C6" s="63">
        <v>10</v>
      </c>
      <c r="D6" s="64">
        <v>10</v>
      </c>
      <c r="E6" s="64">
        <v>10</v>
      </c>
      <c r="F6" s="64">
        <v>10</v>
      </c>
      <c r="G6" s="64">
        <v>15</v>
      </c>
      <c r="H6" s="64">
        <v>15</v>
      </c>
      <c r="I6" s="64">
        <v>15</v>
      </c>
      <c r="J6" s="64">
        <v>15</v>
      </c>
      <c r="K6" s="64">
        <v>15</v>
      </c>
      <c r="L6" s="64">
        <v>15</v>
      </c>
      <c r="M6" s="64">
        <v>15</v>
      </c>
      <c r="N6" s="64">
        <v>5</v>
      </c>
      <c r="O6" s="64">
        <v>5</v>
      </c>
      <c r="P6" s="64">
        <v>10</v>
      </c>
      <c r="Q6" s="64">
        <v>20</v>
      </c>
      <c r="R6" s="64">
        <v>40</v>
      </c>
      <c r="S6" s="64">
        <v>15</v>
      </c>
      <c r="T6" s="64">
        <v>40</v>
      </c>
      <c r="U6" s="64">
        <v>40</v>
      </c>
      <c r="V6" s="64">
        <v>80</v>
      </c>
    </row>
    <row r="7" spans="1:24" ht="17.25" thickBot="1" x14ac:dyDescent="0.35">
      <c r="A7" s="62" t="s">
        <v>41</v>
      </c>
      <c r="B7" s="62" t="s">
        <v>42</v>
      </c>
      <c r="C7" s="63">
        <v>20</v>
      </c>
      <c r="D7" s="64">
        <v>6</v>
      </c>
      <c r="E7" s="64">
        <v>15</v>
      </c>
      <c r="F7" s="64">
        <v>8</v>
      </c>
      <c r="G7" s="64">
        <v>5</v>
      </c>
      <c r="H7" s="64">
        <v>8</v>
      </c>
      <c r="I7" s="64">
        <v>9</v>
      </c>
      <c r="J7" s="64">
        <v>10</v>
      </c>
      <c r="K7" s="64">
        <v>9</v>
      </c>
      <c r="L7" s="64">
        <v>9</v>
      </c>
      <c r="M7" s="64">
        <v>15</v>
      </c>
      <c r="N7" s="64">
        <v>60</v>
      </c>
      <c r="O7" s="64">
        <v>15</v>
      </c>
      <c r="P7" s="64">
        <v>15</v>
      </c>
      <c r="Q7" s="64">
        <v>10</v>
      </c>
      <c r="R7" s="64">
        <v>15</v>
      </c>
      <c r="S7" s="64">
        <v>18</v>
      </c>
      <c r="T7" s="64">
        <v>15</v>
      </c>
      <c r="U7" s="64">
        <v>15</v>
      </c>
      <c r="V7" s="64">
        <v>15</v>
      </c>
    </row>
    <row r="8" spans="1:24" ht="17.25" thickBot="1" x14ac:dyDescent="0.35">
      <c r="A8" s="62" t="s">
        <v>39</v>
      </c>
      <c r="B8" s="62" t="s">
        <v>40</v>
      </c>
      <c r="C8" s="63">
        <v>20</v>
      </c>
      <c r="D8" s="64">
        <v>7</v>
      </c>
      <c r="E8" s="64">
        <v>15</v>
      </c>
      <c r="F8" s="64">
        <v>8</v>
      </c>
      <c r="G8" s="64">
        <v>7</v>
      </c>
      <c r="H8" s="64">
        <v>7</v>
      </c>
      <c r="I8" s="64">
        <v>10</v>
      </c>
      <c r="J8" s="64">
        <v>9</v>
      </c>
      <c r="K8" s="64">
        <v>9</v>
      </c>
      <c r="L8" s="64">
        <v>5</v>
      </c>
      <c r="M8" s="64">
        <v>15</v>
      </c>
      <c r="N8" s="64">
        <v>55</v>
      </c>
      <c r="O8" s="64">
        <v>15</v>
      </c>
      <c r="P8" s="64">
        <v>15</v>
      </c>
      <c r="Q8" s="64">
        <v>9</v>
      </c>
      <c r="R8" s="64">
        <v>10</v>
      </c>
      <c r="S8" s="64">
        <v>10</v>
      </c>
      <c r="T8" s="64">
        <v>20</v>
      </c>
      <c r="U8" s="64">
        <v>10</v>
      </c>
      <c r="V8" s="64">
        <v>20</v>
      </c>
    </row>
    <row r="9" spans="1:24" x14ac:dyDescent="0.2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</row>
  </sheetData>
  <mergeCells count="1">
    <mergeCell ref="A1:W1"/>
  </mergeCells>
  <pageMargins left="0.21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Y9"/>
  <sheetViews>
    <sheetView workbookViewId="0">
      <selection activeCell="AA2" sqref="AA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5703125" style="12" customWidth="1"/>
    <col min="23" max="23" width="7.42578125" style="12" customWidth="1"/>
    <col min="24" max="25" width="5.85546875" style="12" customWidth="1"/>
    <col min="26" max="27" width="5.28515625" style="12" customWidth="1"/>
    <col min="28" max="28" width="5.5703125" style="12" customWidth="1"/>
    <col min="29" max="29" width="6" style="12" customWidth="1"/>
    <col min="30" max="32" width="5.85546875" style="12" customWidth="1"/>
    <col min="33" max="33" width="6.28515625" style="12" customWidth="1"/>
    <col min="34" max="16384" width="11.42578125" style="12"/>
  </cols>
  <sheetData>
    <row r="1" spans="1:25" ht="31.5" x14ac:dyDescent="0.5">
      <c r="A1" s="132" t="s">
        <v>130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</row>
    <row r="2" spans="1:25" ht="113.25" x14ac:dyDescent="0.35">
      <c r="A2" s="54"/>
      <c r="B2" s="54"/>
      <c r="C2" s="55" t="s">
        <v>90</v>
      </c>
      <c r="D2" s="55" t="s">
        <v>91</v>
      </c>
      <c r="E2" s="55" t="s">
        <v>85</v>
      </c>
      <c r="F2" s="55" t="s">
        <v>86</v>
      </c>
      <c r="G2" s="55" t="s">
        <v>73</v>
      </c>
      <c r="H2" s="55" t="s">
        <v>74</v>
      </c>
      <c r="I2" s="55" t="s">
        <v>75</v>
      </c>
      <c r="J2" s="55" t="s">
        <v>76</v>
      </c>
      <c r="K2" s="55" t="s">
        <v>77</v>
      </c>
      <c r="L2" s="56" t="s">
        <v>114</v>
      </c>
      <c r="M2" s="56" t="s">
        <v>79</v>
      </c>
      <c r="N2" s="56" t="s">
        <v>80</v>
      </c>
      <c r="O2" s="56" t="s">
        <v>115</v>
      </c>
      <c r="P2" s="56" t="s">
        <v>116</v>
      </c>
      <c r="Q2" s="56" t="s">
        <v>87</v>
      </c>
      <c r="R2" s="56" t="s">
        <v>88</v>
      </c>
      <c r="S2" s="56" t="s">
        <v>89</v>
      </c>
      <c r="T2" s="56" t="s">
        <v>117</v>
      </c>
      <c r="U2" s="56" t="s">
        <v>118</v>
      </c>
      <c r="V2" s="56" t="s">
        <v>119</v>
      </c>
      <c r="W2" s="57" t="s">
        <v>22</v>
      </c>
      <c r="Y2" s="66"/>
    </row>
    <row r="3" spans="1:25" ht="17.25" thickBot="1" x14ac:dyDescent="0.35">
      <c r="A3" s="58" t="s">
        <v>20</v>
      </c>
      <c r="B3" s="59" t="s">
        <v>19</v>
      </c>
      <c r="C3" s="60" t="s">
        <v>92</v>
      </c>
      <c r="D3" s="61" t="s">
        <v>93</v>
      </c>
      <c r="E3" s="61" t="s">
        <v>94</v>
      </c>
      <c r="F3" s="61" t="s">
        <v>95</v>
      </c>
      <c r="G3" s="61" t="s">
        <v>96</v>
      </c>
      <c r="H3" s="61" t="s">
        <v>97</v>
      </c>
      <c r="I3" s="61" t="s">
        <v>98</v>
      </c>
      <c r="J3" s="61" t="s">
        <v>99</v>
      </c>
      <c r="K3" s="61" t="s">
        <v>100</v>
      </c>
      <c r="L3" s="61" t="s">
        <v>101</v>
      </c>
      <c r="M3" s="61" t="s">
        <v>102</v>
      </c>
      <c r="N3" s="61" t="s">
        <v>103</v>
      </c>
      <c r="O3" s="61" t="s">
        <v>104</v>
      </c>
      <c r="P3" s="61" t="s">
        <v>105</v>
      </c>
      <c r="Q3" s="61" t="s">
        <v>106</v>
      </c>
      <c r="R3" s="61" t="s">
        <v>107</v>
      </c>
      <c r="S3" s="61" t="s">
        <v>108</v>
      </c>
      <c r="T3" s="61" t="s">
        <v>109</v>
      </c>
      <c r="U3" s="61" t="s">
        <v>110</v>
      </c>
      <c r="V3" s="61" t="s">
        <v>111</v>
      </c>
      <c r="W3" s="61" t="s">
        <v>112</v>
      </c>
    </row>
    <row r="4" spans="1:25" ht="17.25" thickBot="1" x14ac:dyDescent="0.35">
      <c r="A4" s="67" t="s">
        <v>37</v>
      </c>
      <c r="B4" s="67" t="s">
        <v>38</v>
      </c>
      <c r="C4" s="63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>
        <v>0</v>
      </c>
    </row>
    <row r="5" spans="1:25" ht="17.25" thickBot="1" x14ac:dyDescent="0.35">
      <c r="A5" s="67" t="s">
        <v>24</v>
      </c>
      <c r="B5" s="67" t="s">
        <v>25</v>
      </c>
      <c r="C5" s="60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>
        <v>0</v>
      </c>
    </row>
    <row r="6" spans="1:25" ht="17.25" thickBot="1" x14ac:dyDescent="0.35">
      <c r="A6" s="67" t="s">
        <v>25</v>
      </c>
      <c r="B6" s="67" t="s">
        <v>25</v>
      </c>
      <c r="C6" s="63">
        <v>10</v>
      </c>
      <c r="D6" s="64">
        <v>10</v>
      </c>
      <c r="E6" s="64">
        <v>10</v>
      </c>
      <c r="F6" s="64">
        <v>10</v>
      </c>
      <c r="G6" s="64">
        <v>15</v>
      </c>
      <c r="H6" s="64">
        <v>15</v>
      </c>
      <c r="I6" s="64">
        <v>15</v>
      </c>
      <c r="J6" s="64">
        <v>15</v>
      </c>
      <c r="K6" s="64">
        <v>15</v>
      </c>
      <c r="L6" s="64">
        <v>15</v>
      </c>
      <c r="M6" s="64">
        <v>15</v>
      </c>
      <c r="N6" s="64">
        <v>5</v>
      </c>
      <c r="O6" s="64">
        <v>5</v>
      </c>
      <c r="P6" s="64">
        <v>10</v>
      </c>
      <c r="Q6" s="64">
        <v>20</v>
      </c>
      <c r="R6" s="64">
        <v>40</v>
      </c>
      <c r="S6" s="64">
        <v>15</v>
      </c>
      <c r="T6" s="64">
        <v>40</v>
      </c>
      <c r="U6" s="64">
        <v>40</v>
      </c>
      <c r="V6" s="64">
        <v>80</v>
      </c>
      <c r="W6" s="64">
        <v>69</v>
      </c>
    </row>
    <row r="7" spans="1:25" ht="17.25" thickBot="1" x14ac:dyDescent="0.35">
      <c r="A7" s="62" t="s">
        <v>41</v>
      </c>
      <c r="B7" s="62" t="s">
        <v>42</v>
      </c>
      <c r="C7" s="63">
        <v>20</v>
      </c>
      <c r="D7" s="64">
        <v>6</v>
      </c>
      <c r="E7" s="64">
        <v>15</v>
      </c>
      <c r="F7" s="64">
        <v>8</v>
      </c>
      <c r="G7" s="64">
        <v>5</v>
      </c>
      <c r="H7" s="64">
        <v>8</v>
      </c>
      <c r="I7" s="64">
        <v>9</v>
      </c>
      <c r="J7" s="64">
        <v>10</v>
      </c>
      <c r="K7" s="64">
        <v>9</v>
      </c>
      <c r="L7" s="64">
        <v>9</v>
      </c>
      <c r="M7" s="64">
        <v>15</v>
      </c>
      <c r="N7" s="64">
        <v>60</v>
      </c>
      <c r="O7" s="64">
        <v>15</v>
      </c>
      <c r="P7" s="64">
        <v>15</v>
      </c>
      <c r="Q7" s="64">
        <v>10</v>
      </c>
      <c r="R7" s="64">
        <v>15</v>
      </c>
      <c r="S7" s="64">
        <v>18</v>
      </c>
      <c r="T7" s="64">
        <v>15</v>
      </c>
      <c r="U7" s="64">
        <v>15</v>
      </c>
      <c r="V7" s="64">
        <v>15</v>
      </c>
      <c r="W7" s="64">
        <v>73</v>
      </c>
    </row>
    <row r="8" spans="1:25" ht="17.25" thickBot="1" x14ac:dyDescent="0.35">
      <c r="A8" s="62" t="s">
        <v>39</v>
      </c>
      <c r="B8" s="62" t="s">
        <v>40</v>
      </c>
      <c r="C8" s="63">
        <v>20</v>
      </c>
      <c r="D8" s="64">
        <v>7</v>
      </c>
      <c r="E8" s="64">
        <v>15</v>
      </c>
      <c r="F8" s="64">
        <v>8</v>
      </c>
      <c r="G8" s="64">
        <v>7</v>
      </c>
      <c r="H8" s="64">
        <v>7</v>
      </c>
      <c r="I8" s="64">
        <v>10</v>
      </c>
      <c r="J8" s="64">
        <v>9</v>
      </c>
      <c r="K8" s="64">
        <v>9</v>
      </c>
      <c r="L8" s="64">
        <v>5</v>
      </c>
      <c r="M8" s="64">
        <v>15</v>
      </c>
      <c r="N8" s="64">
        <v>55</v>
      </c>
      <c r="O8" s="64">
        <v>15</v>
      </c>
      <c r="P8" s="64">
        <v>15</v>
      </c>
      <c r="Q8" s="64">
        <v>9</v>
      </c>
      <c r="R8" s="64">
        <v>10</v>
      </c>
      <c r="S8" s="64">
        <v>10</v>
      </c>
      <c r="T8" s="64">
        <v>20</v>
      </c>
      <c r="U8" s="64">
        <v>10</v>
      </c>
      <c r="V8" s="64">
        <v>20</v>
      </c>
      <c r="W8" s="64">
        <v>69</v>
      </c>
    </row>
    <row r="9" spans="1:25" x14ac:dyDescent="0.2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</row>
  </sheetData>
  <mergeCells count="1">
    <mergeCell ref="A1:W1"/>
  </mergeCells>
  <pageMargins left="0.22" right="0.4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Y7"/>
  <sheetViews>
    <sheetView workbookViewId="0">
      <selection activeCell="Y2" sqref="Y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5703125" style="12" customWidth="1"/>
    <col min="23" max="23" width="7.42578125" style="12" customWidth="1"/>
    <col min="24" max="25" width="5.85546875" style="12" customWidth="1"/>
    <col min="26" max="27" width="5.28515625" style="12" customWidth="1"/>
    <col min="28" max="28" width="5.5703125" style="12" customWidth="1"/>
    <col min="29" max="29" width="6" style="12" customWidth="1"/>
    <col min="30" max="32" width="5.85546875" style="12" customWidth="1"/>
    <col min="33" max="33" width="6.28515625" style="12" customWidth="1"/>
    <col min="34" max="16384" width="11.42578125" style="12"/>
  </cols>
  <sheetData>
    <row r="1" spans="1:25" ht="31.5" x14ac:dyDescent="0.5">
      <c r="A1" s="132" t="s">
        <v>131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</row>
    <row r="2" spans="1:25" ht="113.25" x14ac:dyDescent="0.35">
      <c r="A2" s="54"/>
      <c r="B2" s="54"/>
      <c r="C2" s="55" t="s">
        <v>90</v>
      </c>
      <c r="D2" s="55" t="s">
        <v>91</v>
      </c>
      <c r="E2" s="55" t="s">
        <v>85</v>
      </c>
      <c r="F2" s="55" t="s">
        <v>86</v>
      </c>
      <c r="G2" s="55" t="s">
        <v>73</v>
      </c>
      <c r="H2" s="55" t="s">
        <v>74</v>
      </c>
      <c r="I2" s="55" t="s">
        <v>75</v>
      </c>
      <c r="J2" s="55" t="s">
        <v>76</v>
      </c>
      <c r="K2" s="55" t="s">
        <v>77</v>
      </c>
      <c r="L2" s="56" t="s">
        <v>114</v>
      </c>
      <c r="M2" s="56" t="s">
        <v>79</v>
      </c>
      <c r="N2" s="56" t="s">
        <v>80</v>
      </c>
      <c r="O2" s="56" t="s">
        <v>115</v>
      </c>
      <c r="P2" s="56" t="s">
        <v>116</v>
      </c>
      <c r="Q2" s="56" t="s">
        <v>87</v>
      </c>
      <c r="R2" s="56" t="s">
        <v>88</v>
      </c>
      <c r="S2" s="56" t="s">
        <v>89</v>
      </c>
      <c r="T2" s="56" t="s">
        <v>117</v>
      </c>
      <c r="U2" s="56" t="s">
        <v>118</v>
      </c>
      <c r="V2" s="56" t="s">
        <v>119</v>
      </c>
      <c r="W2" s="57" t="s">
        <v>22</v>
      </c>
      <c r="Y2" s="66"/>
    </row>
    <row r="3" spans="1:25" ht="17.25" thickBot="1" x14ac:dyDescent="0.35">
      <c r="A3" s="58" t="s">
        <v>20</v>
      </c>
      <c r="B3" s="59" t="s">
        <v>19</v>
      </c>
      <c r="C3" s="60" t="s">
        <v>92</v>
      </c>
      <c r="D3" s="61" t="s">
        <v>93</v>
      </c>
      <c r="E3" s="61" t="s">
        <v>94</v>
      </c>
      <c r="F3" s="61" t="s">
        <v>95</v>
      </c>
      <c r="G3" s="61" t="s">
        <v>96</v>
      </c>
      <c r="H3" s="61" t="s">
        <v>97</v>
      </c>
      <c r="I3" s="61" t="s">
        <v>98</v>
      </c>
      <c r="J3" s="61" t="s">
        <v>99</v>
      </c>
      <c r="K3" s="61" t="s">
        <v>100</v>
      </c>
      <c r="L3" s="61" t="s">
        <v>101</v>
      </c>
      <c r="M3" s="61" t="s">
        <v>102</v>
      </c>
      <c r="N3" s="61" t="s">
        <v>103</v>
      </c>
      <c r="O3" s="61" t="s">
        <v>104</v>
      </c>
      <c r="P3" s="61" t="s">
        <v>105</v>
      </c>
      <c r="Q3" s="61" t="s">
        <v>106</v>
      </c>
      <c r="R3" s="61" t="s">
        <v>107</v>
      </c>
      <c r="S3" s="61" t="s">
        <v>108</v>
      </c>
      <c r="T3" s="61" t="s">
        <v>109</v>
      </c>
      <c r="U3" s="61" t="s">
        <v>110</v>
      </c>
      <c r="V3" s="61" t="s">
        <v>111</v>
      </c>
      <c r="W3" s="61" t="s">
        <v>112</v>
      </c>
    </row>
    <row r="4" spans="1:25" ht="17.25" thickBot="1" x14ac:dyDescent="0.35">
      <c r="A4" s="67" t="s">
        <v>25</v>
      </c>
      <c r="B4" s="67" t="s">
        <v>25</v>
      </c>
      <c r="C4" s="63">
        <v>10</v>
      </c>
      <c r="D4" s="64">
        <v>10</v>
      </c>
      <c r="E4" s="64">
        <v>10</v>
      </c>
      <c r="F4" s="64">
        <v>10</v>
      </c>
      <c r="G4" s="64">
        <v>15</v>
      </c>
      <c r="H4" s="64">
        <v>15</v>
      </c>
      <c r="I4" s="64">
        <v>15</v>
      </c>
      <c r="J4" s="64">
        <v>15</v>
      </c>
      <c r="K4" s="64">
        <v>15</v>
      </c>
      <c r="L4" s="64">
        <v>15</v>
      </c>
      <c r="M4" s="64">
        <v>15</v>
      </c>
      <c r="N4" s="64">
        <v>5</v>
      </c>
      <c r="O4" s="64">
        <v>5</v>
      </c>
      <c r="P4" s="64">
        <v>10</v>
      </c>
      <c r="Q4" s="64">
        <v>20</v>
      </c>
      <c r="R4" s="64">
        <v>40</v>
      </c>
      <c r="S4" s="64">
        <v>15</v>
      </c>
      <c r="T4" s="64">
        <v>40</v>
      </c>
      <c r="U4" s="64">
        <v>40</v>
      </c>
      <c r="V4" s="64">
        <v>80</v>
      </c>
      <c r="W4" s="64">
        <v>69</v>
      </c>
    </row>
    <row r="5" spans="1:25" ht="17.25" thickBot="1" x14ac:dyDescent="0.35">
      <c r="A5" s="62" t="s">
        <v>41</v>
      </c>
      <c r="B5" s="62" t="s">
        <v>42</v>
      </c>
      <c r="C5" s="63">
        <v>20</v>
      </c>
      <c r="D5" s="64">
        <v>6</v>
      </c>
      <c r="E5" s="64">
        <v>15</v>
      </c>
      <c r="F5" s="64">
        <v>8</v>
      </c>
      <c r="G5" s="64">
        <v>5</v>
      </c>
      <c r="H5" s="64">
        <v>8</v>
      </c>
      <c r="I5" s="64">
        <v>9</v>
      </c>
      <c r="J5" s="64">
        <v>10</v>
      </c>
      <c r="K5" s="64">
        <v>9</v>
      </c>
      <c r="L5" s="64">
        <v>9</v>
      </c>
      <c r="M5" s="64">
        <v>15</v>
      </c>
      <c r="N5" s="64">
        <v>60</v>
      </c>
      <c r="O5" s="64">
        <v>15</v>
      </c>
      <c r="P5" s="64">
        <v>15</v>
      </c>
      <c r="Q5" s="64">
        <v>10</v>
      </c>
      <c r="R5" s="64">
        <v>15</v>
      </c>
      <c r="S5" s="64">
        <v>18</v>
      </c>
      <c r="T5" s="64">
        <v>15</v>
      </c>
      <c r="U5" s="64">
        <v>15</v>
      </c>
      <c r="V5" s="64">
        <v>15</v>
      </c>
      <c r="W5" s="64">
        <v>73</v>
      </c>
    </row>
    <row r="6" spans="1:25" ht="17.25" thickBot="1" x14ac:dyDescent="0.35">
      <c r="A6" s="62" t="s">
        <v>39</v>
      </c>
      <c r="B6" s="62" t="s">
        <v>40</v>
      </c>
      <c r="C6" s="63">
        <v>20</v>
      </c>
      <c r="D6" s="64">
        <v>7</v>
      </c>
      <c r="E6" s="64">
        <v>15</v>
      </c>
      <c r="F6" s="64">
        <v>8</v>
      </c>
      <c r="G6" s="64">
        <v>7</v>
      </c>
      <c r="H6" s="64">
        <v>7</v>
      </c>
      <c r="I6" s="64">
        <v>10</v>
      </c>
      <c r="J6" s="64">
        <v>9</v>
      </c>
      <c r="K6" s="64">
        <v>9</v>
      </c>
      <c r="L6" s="64">
        <v>5</v>
      </c>
      <c r="M6" s="64">
        <v>15</v>
      </c>
      <c r="N6" s="64">
        <v>55</v>
      </c>
      <c r="O6" s="64">
        <v>15</v>
      </c>
      <c r="P6" s="64">
        <v>15</v>
      </c>
      <c r="Q6" s="64">
        <v>9</v>
      </c>
      <c r="R6" s="64">
        <v>10</v>
      </c>
      <c r="S6" s="64">
        <v>10</v>
      </c>
      <c r="T6" s="64">
        <v>20</v>
      </c>
      <c r="U6" s="64">
        <v>10</v>
      </c>
      <c r="V6" s="64">
        <v>20</v>
      </c>
      <c r="W6" s="64">
        <v>69</v>
      </c>
    </row>
    <row r="7" spans="1:25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</row>
  </sheetData>
  <mergeCells count="1">
    <mergeCell ref="A1:W1"/>
  </mergeCells>
  <pageMargins left="0.32" right="0.3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Y6"/>
  <sheetViews>
    <sheetView workbookViewId="0">
      <selection activeCell="V10" sqref="V10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2" width="4.5703125" style="12" customWidth="1"/>
    <col min="23" max="23" width="7.42578125" style="12" customWidth="1"/>
    <col min="24" max="25" width="5.85546875" style="12" customWidth="1"/>
    <col min="26" max="27" width="5.28515625" style="12" customWidth="1"/>
    <col min="28" max="28" width="5.5703125" style="12" customWidth="1"/>
    <col min="29" max="29" width="6" style="12" customWidth="1"/>
    <col min="30" max="32" width="5.85546875" style="12" customWidth="1"/>
    <col min="33" max="33" width="6.28515625" style="12" customWidth="1"/>
    <col min="34" max="16384" width="11.42578125" style="12"/>
  </cols>
  <sheetData>
    <row r="1" spans="1:25" ht="31.5" x14ac:dyDescent="0.5">
      <c r="A1" s="132" t="s">
        <v>113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</row>
    <row r="2" spans="1:25" ht="113.25" x14ac:dyDescent="0.35">
      <c r="A2" s="54"/>
      <c r="B2" s="54"/>
      <c r="C2" s="55" t="s">
        <v>90</v>
      </c>
      <c r="D2" s="55" t="s">
        <v>91</v>
      </c>
      <c r="E2" s="55" t="s">
        <v>85</v>
      </c>
      <c r="F2" s="55" t="s">
        <v>86</v>
      </c>
      <c r="G2" s="55" t="s">
        <v>73</v>
      </c>
      <c r="H2" s="55" t="s">
        <v>74</v>
      </c>
      <c r="I2" s="55" t="s">
        <v>75</v>
      </c>
      <c r="J2" s="55" t="s">
        <v>76</v>
      </c>
      <c r="K2" s="55" t="s">
        <v>77</v>
      </c>
      <c r="L2" s="56" t="s">
        <v>114</v>
      </c>
      <c r="M2" s="56" t="s">
        <v>79</v>
      </c>
      <c r="N2" s="56" t="s">
        <v>80</v>
      </c>
      <c r="O2" s="56" t="s">
        <v>115</v>
      </c>
      <c r="P2" s="56" t="s">
        <v>116</v>
      </c>
      <c r="Q2" s="56" t="s">
        <v>87</v>
      </c>
      <c r="R2" s="56" t="s">
        <v>88</v>
      </c>
      <c r="S2" s="56" t="s">
        <v>89</v>
      </c>
      <c r="T2" s="56" t="s">
        <v>117</v>
      </c>
      <c r="U2" s="56" t="s">
        <v>118</v>
      </c>
      <c r="V2" s="56" t="s">
        <v>119</v>
      </c>
      <c r="W2" s="57" t="s">
        <v>22</v>
      </c>
      <c r="Y2" s="66"/>
    </row>
    <row r="3" spans="1:25" ht="17.25" thickBot="1" x14ac:dyDescent="0.35">
      <c r="A3" s="58" t="s">
        <v>20</v>
      </c>
      <c r="B3" s="59" t="s">
        <v>19</v>
      </c>
      <c r="C3" s="60" t="s">
        <v>92</v>
      </c>
      <c r="D3" s="61" t="s">
        <v>93</v>
      </c>
      <c r="E3" s="61" t="s">
        <v>94</v>
      </c>
      <c r="F3" s="61" t="s">
        <v>95</v>
      </c>
      <c r="G3" s="61" t="s">
        <v>96</v>
      </c>
      <c r="H3" s="61" t="s">
        <v>97</v>
      </c>
      <c r="I3" s="61" t="s">
        <v>98</v>
      </c>
      <c r="J3" s="61" t="s">
        <v>99</v>
      </c>
      <c r="K3" s="61" t="s">
        <v>100</v>
      </c>
      <c r="L3" s="61" t="s">
        <v>101</v>
      </c>
      <c r="M3" s="61" t="s">
        <v>102</v>
      </c>
      <c r="N3" s="61" t="s">
        <v>103</v>
      </c>
      <c r="O3" s="61" t="s">
        <v>104</v>
      </c>
      <c r="P3" s="61" t="s">
        <v>105</v>
      </c>
      <c r="Q3" s="61" t="s">
        <v>106</v>
      </c>
      <c r="R3" s="61" t="s">
        <v>107</v>
      </c>
      <c r="S3" s="61" t="s">
        <v>108</v>
      </c>
      <c r="T3" s="61" t="s">
        <v>109</v>
      </c>
      <c r="U3" s="61" t="s">
        <v>110</v>
      </c>
      <c r="V3" s="61" t="s">
        <v>111</v>
      </c>
      <c r="W3" s="61" t="s">
        <v>112</v>
      </c>
    </row>
    <row r="4" spans="1:25" ht="21.75" thickBot="1" x14ac:dyDescent="0.4">
      <c r="A4" s="62" t="s">
        <v>41</v>
      </c>
      <c r="B4" s="62" t="s">
        <v>42</v>
      </c>
      <c r="C4" s="63">
        <v>20</v>
      </c>
      <c r="D4" s="64">
        <v>6</v>
      </c>
      <c r="E4" s="64">
        <v>15</v>
      </c>
      <c r="F4" s="64">
        <v>8</v>
      </c>
      <c r="G4" s="64">
        <v>5</v>
      </c>
      <c r="H4" s="64">
        <v>8</v>
      </c>
      <c r="I4" s="64">
        <v>9</v>
      </c>
      <c r="J4" s="64">
        <v>10</v>
      </c>
      <c r="K4" s="64">
        <v>9</v>
      </c>
      <c r="L4" s="64">
        <v>9</v>
      </c>
      <c r="M4" s="64">
        <v>15</v>
      </c>
      <c r="N4" s="64">
        <v>60</v>
      </c>
      <c r="O4" s="64">
        <v>15</v>
      </c>
      <c r="P4" s="64">
        <v>15</v>
      </c>
      <c r="Q4" s="64">
        <v>10</v>
      </c>
      <c r="R4" s="64">
        <v>15</v>
      </c>
      <c r="S4" s="64">
        <v>18</v>
      </c>
      <c r="T4" s="64">
        <v>15</v>
      </c>
      <c r="U4" s="64">
        <v>15</v>
      </c>
      <c r="V4" s="64">
        <v>15</v>
      </c>
      <c r="W4" s="65">
        <v>73</v>
      </c>
    </row>
    <row r="5" spans="1:25" ht="21.75" thickBot="1" x14ac:dyDescent="0.4">
      <c r="A5" s="62" t="s">
        <v>39</v>
      </c>
      <c r="B5" s="62" t="s">
        <v>40</v>
      </c>
      <c r="C5" s="63">
        <v>20</v>
      </c>
      <c r="D5" s="64">
        <v>7</v>
      </c>
      <c r="E5" s="64">
        <v>15</v>
      </c>
      <c r="F5" s="64">
        <v>8</v>
      </c>
      <c r="G5" s="64">
        <v>7</v>
      </c>
      <c r="H5" s="64">
        <v>7</v>
      </c>
      <c r="I5" s="64">
        <v>10</v>
      </c>
      <c r="J5" s="64">
        <v>9</v>
      </c>
      <c r="K5" s="64">
        <v>9</v>
      </c>
      <c r="L5" s="64">
        <v>5</v>
      </c>
      <c r="M5" s="64">
        <v>15</v>
      </c>
      <c r="N5" s="64">
        <v>55</v>
      </c>
      <c r="O5" s="64">
        <v>15</v>
      </c>
      <c r="P5" s="64">
        <v>15</v>
      </c>
      <c r="Q5" s="64">
        <v>9</v>
      </c>
      <c r="R5" s="64">
        <v>10</v>
      </c>
      <c r="S5" s="64">
        <v>10</v>
      </c>
      <c r="T5" s="64">
        <v>20</v>
      </c>
      <c r="U5" s="64">
        <v>10</v>
      </c>
      <c r="V5" s="64">
        <v>20</v>
      </c>
      <c r="W5" s="65">
        <v>69</v>
      </c>
    </row>
    <row r="6" spans="1:25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</sheetData>
  <mergeCells count="1">
    <mergeCell ref="A1:W1"/>
  </mergeCells>
  <pageMargins left="0.31" right="0.3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PLM</vt:lpstr>
      <vt:lpstr>GrEXM1S</vt:lpstr>
      <vt:lpstr>Gr2P</vt:lpstr>
      <vt:lpstr>GrEXM2S</vt:lpstr>
      <vt:lpstr>Gr4P</vt:lpstr>
      <vt:lpstr>Gr3P</vt:lpstr>
      <vt:lpstr>Gr1P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2021-03-13T15:31:45Z</cp:lastPrinted>
  <dcterms:created xsi:type="dcterms:W3CDTF">2019-12-12T07:48:50Z</dcterms:created>
  <dcterms:modified xsi:type="dcterms:W3CDTF">2021-03-20T06:46:35Z</dcterms:modified>
</cp:coreProperties>
</file>